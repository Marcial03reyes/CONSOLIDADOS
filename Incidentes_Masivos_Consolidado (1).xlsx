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MARCIAL\Downloads\"/>
    </mc:Choice>
  </mc:AlternateContent>
  <xr:revisionPtr revIDLastSave="0" documentId="13_ncr:1_{BFD5CCA5-3874-479B-A182-26B04CC32725}" xr6:coauthVersionLast="47" xr6:coauthVersionMax="47" xr10:uidLastSave="{00000000-0000-0000-0000-000000000000}"/>
  <bookViews>
    <workbookView xWindow="-110" yWindow="-110" windowWidth="19420" windowHeight="11500" tabRatio="500" activeTab="1" xr2:uid="{00000000-000D-0000-FFFF-FFFF00000000}"/>
  </bookViews>
  <sheets>
    <sheet name="Hoja1" sheetId="2" r:id="rId1"/>
    <sheet name="Incidentes Masivos" sheetId="1" r:id="rId2"/>
  </sheets>
  <definedNames>
    <definedName name="_xlnm._FilterDatabase" localSheetId="1" hidden="1">'Incidentes Masivos'!$A$1:$M$115</definedName>
  </definedNames>
  <calcPr calcId="191029" iterateDelta="1E-4"/>
  <pivotCaches>
    <pivotCache cacheId="41"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 i="1" l="1"/>
  <c r="F3" i="1"/>
  <c r="G3" i="1"/>
  <c r="E4" i="1"/>
  <c r="F4" i="1"/>
  <c r="G4" i="1"/>
  <c r="E5" i="1"/>
  <c r="F5" i="1"/>
  <c r="G5" i="1"/>
  <c r="E6" i="1"/>
  <c r="F6" i="1"/>
  <c r="G6" i="1"/>
  <c r="E7" i="1"/>
  <c r="F7" i="1"/>
  <c r="G7" i="1"/>
  <c r="E8" i="1"/>
  <c r="F8" i="1"/>
  <c r="G8" i="1"/>
  <c r="E9" i="1"/>
  <c r="F9" i="1"/>
  <c r="G9" i="1"/>
  <c r="E10" i="1"/>
  <c r="F10" i="1"/>
  <c r="G10" i="1"/>
  <c r="E11" i="1"/>
  <c r="F11" i="1"/>
  <c r="G11" i="1"/>
  <c r="E12" i="1"/>
  <c r="F12" i="1"/>
  <c r="G12" i="1"/>
  <c r="E13" i="1"/>
  <c r="F13" i="1"/>
  <c r="G13" i="1"/>
  <c r="E14" i="1"/>
  <c r="F14" i="1"/>
  <c r="G14" i="1"/>
  <c r="E15" i="1"/>
  <c r="F15" i="1"/>
  <c r="G15" i="1"/>
  <c r="E16" i="1"/>
  <c r="F16" i="1"/>
  <c r="G16" i="1"/>
  <c r="E17" i="1"/>
  <c r="F17" i="1"/>
  <c r="G17" i="1"/>
  <c r="E18" i="1"/>
  <c r="F18" i="1"/>
  <c r="G18" i="1"/>
  <c r="E19" i="1"/>
  <c r="F19" i="1"/>
  <c r="G19" i="1"/>
  <c r="E20" i="1"/>
  <c r="F20" i="1"/>
  <c r="G20" i="1"/>
  <c r="E21" i="1"/>
  <c r="F21" i="1"/>
  <c r="G21" i="1"/>
  <c r="E22" i="1"/>
  <c r="F22" i="1"/>
  <c r="G22" i="1"/>
  <c r="E23" i="1"/>
  <c r="F23" i="1"/>
  <c r="G23" i="1"/>
  <c r="E24" i="1"/>
  <c r="F24" i="1"/>
  <c r="G24" i="1"/>
  <c r="E25" i="1"/>
  <c r="F25" i="1"/>
  <c r="G25" i="1"/>
  <c r="E26" i="1"/>
  <c r="F26" i="1"/>
  <c r="G26" i="1"/>
  <c r="E27" i="1"/>
  <c r="F27" i="1"/>
  <c r="G27" i="1"/>
  <c r="E28" i="1"/>
  <c r="F28" i="1"/>
  <c r="G28" i="1"/>
  <c r="E29" i="1"/>
  <c r="F29" i="1"/>
  <c r="G29" i="1"/>
  <c r="E30" i="1"/>
  <c r="F30" i="1"/>
  <c r="G30" i="1"/>
  <c r="E31" i="1"/>
  <c r="F31" i="1"/>
  <c r="G31" i="1"/>
  <c r="E32" i="1"/>
  <c r="F32" i="1"/>
  <c r="G32" i="1"/>
  <c r="E33" i="1"/>
  <c r="F33" i="1"/>
  <c r="G33" i="1"/>
  <c r="E34" i="1"/>
  <c r="F34" i="1"/>
  <c r="G34" i="1"/>
  <c r="E35" i="1"/>
  <c r="F35" i="1"/>
  <c r="G35" i="1"/>
  <c r="E36" i="1"/>
  <c r="F36" i="1"/>
  <c r="G36" i="1"/>
  <c r="E37" i="1"/>
  <c r="F37" i="1"/>
  <c r="G37" i="1"/>
  <c r="E38" i="1"/>
  <c r="F38" i="1"/>
  <c r="G38" i="1"/>
  <c r="E39" i="1"/>
  <c r="F39" i="1"/>
  <c r="G39" i="1"/>
  <c r="E40" i="1"/>
  <c r="F40" i="1"/>
  <c r="G40" i="1"/>
  <c r="E41" i="1"/>
  <c r="F41" i="1"/>
  <c r="G41" i="1"/>
  <c r="E42" i="1"/>
  <c r="F42" i="1"/>
  <c r="G42" i="1"/>
  <c r="E43" i="1"/>
  <c r="F43" i="1"/>
  <c r="G43" i="1"/>
  <c r="E44" i="1"/>
  <c r="F44" i="1"/>
  <c r="G44" i="1"/>
  <c r="E45" i="1"/>
  <c r="F45" i="1"/>
  <c r="G45" i="1"/>
  <c r="E46" i="1"/>
  <c r="F46" i="1"/>
  <c r="G46" i="1"/>
  <c r="E47" i="1"/>
  <c r="F47" i="1"/>
  <c r="G47" i="1"/>
  <c r="E48" i="1"/>
  <c r="F48" i="1"/>
  <c r="G48" i="1"/>
  <c r="E49" i="1"/>
  <c r="F49" i="1"/>
  <c r="G49" i="1"/>
  <c r="E50" i="1"/>
  <c r="F50" i="1"/>
  <c r="G50" i="1"/>
  <c r="E51" i="1"/>
  <c r="F51" i="1"/>
  <c r="G51" i="1"/>
  <c r="E52" i="1"/>
  <c r="F52" i="1"/>
  <c r="G52" i="1"/>
  <c r="E53" i="1"/>
  <c r="F53" i="1"/>
  <c r="G53" i="1"/>
  <c r="E54" i="1"/>
  <c r="F54" i="1"/>
  <c r="G54" i="1"/>
  <c r="E55" i="1"/>
  <c r="F55" i="1"/>
  <c r="G55" i="1"/>
  <c r="E56" i="1"/>
  <c r="F56" i="1"/>
  <c r="G56" i="1"/>
  <c r="E57" i="1"/>
  <c r="F57" i="1"/>
  <c r="G57" i="1"/>
  <c r="E58" i="1"/>
  <c r="F58" i="1"/>
  <c r="G58" i="1"/>
  <c r="E59" i="1"/>
  <c r="F59" i="1"/>
  <c r="G59" i="1"/>
  <c r="E60" i="1"/>
  <c r="F60" i="1"/>
  <c r="G60" i="1"/>
  <c r="E61" i="1"/>
  <c r="F61" i="1"/>
  <c r="G61" i="1"/>
  <c r="E62" i="1"/>
  <c r="F62" i="1"/>
  <c r="G62" i="1"/>
  <c r="E63" i="1"/>
  <c r="F63" i="1"/>
  <c r="G63" i="1"/>
  <c r="E64" i="1"/>
  <c r="F64" i="1"/>
  <c r="G64" i="1"/>
  <c r="E65" i="1"/>
  <c r="F65" i="1"/>
  <c r="G65" i="1"/>
  <c r="E66" i="1"/>
  <c r="F66" i="1"/>
  <c r="G66" i="1"/>
  <c r="E67" i="1"/>
  <c r="F67" i="1"/>
  <c r="G67" i="1"/>
  <c r="E68" i="1"/>
  <c r="F68" i="1"/>
  <c r="G68" i="1"/>
  <c r="E69" i="1"/>
  <c r="F69" i="1"/>
  <c r="G69" i="1"/>
  <c r="E70" i="1"/>
  <c r="F70" i="1"/>
  <c r="G70" i="1"/>
  <c r="E71" i="1"/>
  <c r="F71" i="1"/>
  <c r="G71" i="1"/>
  <c r="E72" i="1"/>
  <c r="F72" i="1"/>
  <c r="G72" i="1"/>
  <c r="E73" i="1"/>
  <c r="F73" i="1"/>
  <c r="G73" i="1"/>
  <c r="E74" i="1"/>
  <c r="F74" i="1"/>
  <c r="G74" i="1"/>
  <c r="E75" i="1"/>
  <c r="F75" i="1"/>
  <c r="G75" i="1"/>
  <c r="E76" i="1"/>
  <c r="F76" i="1"/>
  <c r="G76" i="1"/>
  <c r="E77" i="1"/>
  <c r="F77" i="1"/>
  <c r="G77" i="1"/>
  <c r="E78" i="1"/>
  <c r="F78" i="1"/>
  <c r="G78" i="1"/>
  <c r="E79" i="1"/>
  <c r="F79" i="1"/>
  <c r="G79" i="1"/>
  <c r="E80" i="1"/>
  <c r="F80" i="1"/>
  <c r="G80" i="1"/>
  <c r="E81" i="1"/>
  <c r="F81" i="1"/>
  <c r="G81" i="1"/>
  <c r="E82" i="1"/>
  <c r="F82" i="1"/>
  <c r="G82" i="1"/>
  <c r="E83" i="1"/>
  <c r="F83" i="1"/>
  <c r="G83" i="1"/>
  <c r="E84" i="1"/>
  <c r="F84" i="1"/>
  <c r="G84" i="1"/>
  <c r="E85" i="1"/>
  <c r="F85" i="1"/>
  <c r="G85" i="1"/>
  <c r="E86" i="1"/>
  <c r="F86" i="1"/>
  <c r="G86" i="1"/>
  <c r="E87" i="1"/>
  <c r="F87" i="1"/>
  <c r="G87" i="1"/>
  <c r="E88" i="1"/>
  <c r="F88" i="1"/>
  <c r="G88" i="1"/>
  <c r="E89" i="1"/>
  <c r="F89" i="1"/>
  <c r="G89" i="1"/>
  <c r="E90" i="1"/>
  <c r="F90" i="1"/>
  <c r="G90" i="1"/>
  <c r="E91" i="1"/>
  <c r="F91" i="1"/>
  <c r="G91" i="1"/>
  <c r="E92" i="1"/>
  <c r="F92" i="1"/>
  <c r="G92" i="1"/>
  <c r="E93" i="1"/>
  <c r="F93" i="1"/>
  <c r="G93" i="1"/>
  <c r="E94" i="1"/>
  <c r="F94" i="1"/>
  <c r="G94" i="1"/>
  <c r="E95" i="1"/>
  <c r="F95" i="1"/>
  <c r="G95" i="1"/>
  <c r="E96" i="1"/>
  <c r="F96" i="1"/>
  <c r="G96" i="1"/>
  <c r="E97" i="1"/>
  <c r="F97" i="1"/>
  <c r="G97" i="1"/>
  <c r="E98" i="1"/>
  <c r="F98" i="1"/>
  <c r="G98" i="1"/>
  <c r="E99" i="1"/>
  <c r="F99" i="1"/>
  <c r="G99" i="1"/>
  <c r="E100" i="1"/>
  <c r="F100" i="1"/>
  <c r="G100" i="1"/>
  <c r="E101" i="1"/>
  <c r="F101" i="1"/>
  <c r="G101" i="1"/>
  <c r="E102" i="1"/>
  <c r="F102" i="1"/>
  <c r="G102" i="1"/>
  <c r="E103" i="1"/>
  <c r="F103" i="1"/>
  <c r="G103" i="1"/>
  <c r="E104" i="1"/>
  <c r="F104" i="1"/>
  <c r="G104" i="1"/>
  <c r="E105" i="1"/>
  <c r="F105" i="1"/>
  <c r="G105" i="1"/>
  <c r="E106" i="1"/>
  <c r="F106" i="1"/>
  <c r="G106" i="1"/>
  <c r="E107" i="1"/>
  <c r="F107" i="1"/>
  <c r="G107" i="1"/>
  <c r="E108" i="1"/>
  <c r="F108" i="1"/>
  <c r="G108" i="1"/>
  <c r="E109" i="1"/>
  <c r="F109" i="1"/>
  <c r="G109" i="1"/>
  <c r="E110" i="1"/>
  <c r="F110" i="1"/>
  <c r="G110" i="1"/>
  <c r="E111" i="1"/>
  <c r="F111" i="1"/>
  <c r="G111" i="1"/>
  <c r="E112" i="1"/>
  <c r="F112" i="1"/>
  <c r="G112" i="1"/>
  <c r="E113" i="1"/>
  <c r="F113" i="1"/>
  <c r="G113" i="1"/>
  <c r="E114" i="1"/>
  <c r="F114" i="1"/>
  <c r="G114" i="1"/>
  <c r="E115" i="1"/>
  <c r="F115" i="1"/>
  <c r="G115" i="1"/>
  <c r="G2" i="1"/>
  <c r="F2" i="1"/>
  <c r="E2" i="1"/>
</calcChain>
</file>

<file path=xl/sharedStrings.xml><?xml version="1.0" encoding="utf-8"?>
<sst xmlns="http://schemas.openxmlformats.org/spreadsheetml/2006/main" count="994" uniqueCount="588">
  <si>
    <t>Área</t>
  </si>
  <si>
    <t>Ticket</t>
  </si>
  <si>
    <t>Aplicación</t>
  </si>
  <si>
    <t>Incidentes</t>
  </si>
  <si>
    <t>Fecha Inicio</t>
  </si>
  <si>
    <t>Hora Inicio</t>
  </si>
  <si>
    <t>Fecha Fin</t>
  </si>
  <si>
    <t>Hora Fin</t>
  </si>
  <si>
    <t>Duración</t>
  </si>
  <si>
    <t>Estado</t>
  </si>
  <si>
    <t>Call de Atención</t>
  </si>
  <si>
    <t>Central Telefónica (4151515 / 5135000)</t>
  </si>
  <si>
    <t>Buen día según lo informado por llamada telefónica tu apoyo en revisar el ingreso de llamadas en las dos centrales 4151515 y 5135000 No entran llamadas al 415 ni al 513 es una falla masiva por lado de TDP.. no solo esta afectando a Pacifico si a varios clientes</t>
  </si>
  <si>
    <t>8/13/24</t>
  </si>
  <si>
    <t>6:23:29 a. m.</t>
  </si>
  <si>
    <t>7:59:16 a. m.</t>
  </si>
  <si>
    <t>1h 35m</t>
  </si>
  <si>
    <t>Resuelto</t>
  </si>
  <si>
    <t>INC0663656</t>
  </si>
  <si>
    <t>Caja China</t>
  </si>
  <si>
    <t>Buenas noches, Se reporta que no se puede realizar búsquedas a través de caja china, al ingresar credenciales y colocar datos de motor o placa para buscar figura el error. La falla es masiva, se genero ticket INC0663656</t>
  </si>
  <si>
    <t>8/27/24</t>
  </si>
  <si>
    <t>9:12:09 p. m.</t>
  </si>
  <si>
    <t>Sin resolución registrada</t>
  </si>
  <si>
    <t>INC0675418</t>
  </si>
  <si>
    <t>Siniestros Web</t>
  </si>
  <si>
    <t>Buenos dias su apoyo no cuento con siniestros web el error es masivo tu apoyo por favor ticket: INC0675418</t>
  </si>
  <si>
    <t>9/24/24</t>
  </si>
  <si>
    <t>9:25:32 a. m.</t>
  </si>
  <si>
    <t>2:58:30 p. m.</t>
  </si>
  <si>
    <t>5h 32m</t>
  </si>
  <si>
    <t>INC0680462</t>
  </si>
  <si>
    <t>Por favor tu amable apoyo, el error de Siniestros Web es masivo, ya son varios usuarios que reportan la falla, y cuando trato de generar el siniestro tambien aparece el error mostrado por Tavata y Marjori. Se genera ticket masivo: INC0680462 Alvarito buen dia, por favor tu apoyo con la falla reportada de Siniestros Web, persiste el error y no permite siniestrar. Estamos generando los casos como RO en Claim como contingencia</t>
  </si>
  <si>
    <t>10/5/24</t>
  </si>
  <si>
    <t>3:28:39 p. m.</t>
  </si>
  <si>
    <t>Aplicativo (no especificado)</t>
  </si>
  <si>
    <t>Buenos días estimados es una falla masiva del aplicativo</t>
  </si>
  <si>
    <t>10/11/24</t>
  </si>
  <si>
    <t>9:27:48 a. m.</t>
  </si>
  <si>
    <t>INC0683683</t>
  </si>
  <si>
    <t>AcselX 12C</t>
  </si>
  <si>
    <t>Chicos tenemos la falla de AcselX 12C de manera masiva: INC0683683</t>
  </si>
  <si>
    <t>10/14/24</t>
  </si>
  <si>
    <t>11:49:13 a. m.</t>
  </si>
  <si>
    <t>6:53:23 p. m.</t>
  </si>
  <si>
    <t>7h 4m</t>
  </si>
  <si>
    <t>INC0691810</t>
  </si>
  <si>
    <t>Citrix (acceso a aplicativos)</t>
  </si>
  <si>
    <t>Buenas noches, por favor tu apoyo, ya que no podemos acceder a los aplicativos mediante citrix es algo masivo, se genera ticket INC0691810</t>
  </si>
  <si>
    <t>11/3/24</t>
  </si>
  <si>
    <t>11:02:40 p. m.</t>
  </si>
  <si>
    <t>INC0697392</t>
  </si>
  <si>
    <t>Guideware</t>
  </si>
  <si>
    <t>Se ha declaro un masivo con el guideware, ticket principal declarado INC0697392</t>
  </si>
  <si>
    <t>11/18/24</t>
  </si>
  <si>
    <t>9:14:47 a. m.</t>
  </si>
  <si>
    <t>9:51:47 a. m.</t>
  </si>
  <si>
    <t>0h 37m</t>
  </si>
  <si>
    <t>Central Telefónica (Telefónica/TDP)</t>
  </si>
  <si>
    <t>Se confirma caida masiva de Telefonica... en breve se dara mas detalle</t>
  </si>
  <si>
    <t>11/26/24</t>
  </si>
  <si>
    <t>9:38:22 a. m.</t>
  </si>
  <si>
    <t>9:38:26 a. m.</t>
  </si>
  <si>
    <t>0h 0m</t>
  </si>
  <si>
    <t>INC0700588</t>
  </si>
  <si>
    <t>Citrix (desconexión)</t>
  </si>
  <si>
    <t>Se genera ticket por falla masiva de desconexion de Citrix INC0700588. tu apoyo para elevarlo. Buen dia se esta cerrando el citrix constantemente La intermitencia del citrix no permite culminar siniestro al forzar el cierre del aplicativo en plena llamada</t>
  </si>
  <si>
    <t>9:42:47 a. m.</t>
  </si>
  <si>
    <t>10:14:32 a. m.</t>
  </si>
  <si>
    <t>0h 31m</t>
  </si>
  <si>
    <t>Citrix</t>
  </si>
  <si>
    <t>Buen día, tenemos incidente masivo con citrix, está en revisión</t>
  </si>
  <si>
    <t>11/28/24</t>
  </si>
  <si>
    <t>5:00:08 p. m.</t>
  </si>
  <si>
    <t>5:30:47 p. m.</t>
  </si>
  <si>
    <t>0h 30m</t>
  </si>
  <si>
    <t>INC0704607</t>
  </si>
  <si>
    <t>Buenas noches, se reporta que no se pueden adjuntar imágenes a los siniestros en SW figura error. Se genero el ticket INC0704607, falla masiva</t>
  </si>
  <si>
    <t>12/5/24</t>
  </si>
  <si>
    <t>9:09:51 p. m.</t>
  </si>
  <si>
    <t>Buen día equipo, se tiene un incidente masivo con citrix, se ha enviado un comunicado informando del caso e indicando que apliquen como contingencia el uso de Citrix Gateway, gracias</t>
  </si>
  <si>
    <t>12/17/24</t>
  </si>
  <si>
    <t>9:52:24 a. m.</t>
  </si>
  <si>
    <t>INC0709885</t>
  </si>
  <si>
    <t>Claim Center / Siniestros Web / SIA / CRM (falla múltiple)</t>
  </si>
  <si>
    <t>Buenas noches, se reporta que no carga la pagina de claim center, se procede a generar el ticket: INC0709885 por falla masiva. Tampoco hay SW SIA - abre aplicación se ingresa usuarios y no carga vueleve a la página principal, se reinicio Citrix pero persiste el inconveniente tampoco tengo CRM</t>
  </si>
  <si>
    <t>12/20/24</t>
  </si>
  <si>
    <t>11:12:56 p. m.</t>
  </si>
  <si>
    <t>12/21/24</t>
  </si>
  <si>
    <t>5:42:14 a. m.</t>
  </si>
  <si>
    <t>6h 29m</t>
  </si>
  <si>
    <t>INC0714023</t>
  </si>
  <si>
    <t>Acselx 12C</t>
  </si>
  <si>
    <t>Tambien se reporta que no carga la pagina del acselx 12c mediante citrix, se ha hecho los descartes pero se queda cargando varios minutos pero no logra ingresar para validar las polizas. La falla es masiva, se genero ticket INC0714023</t>
  </si>
  <si>
    <t>1/4/25</t>
  </si>
  <si>
    <t>10:34:32 a. m.</t>
  </si>
  <si>
    <t>INC0720327</t>
  </si>
  <si>
    <t>Buenas noches, se presenta problemas con Caja china no se cuenta con acceso. Se genera el ticket: INC0720327 ya que, la falla es masiva. tu amable apoyo en elevar el ticket por favor. Por otro lado se informa que la asesora de turno Yuly Morales de CC si cuenta con acceso a caja china desde el enlace proporcionado como contingencia (https://www30.pacificoseguros.com/callcenter). La asesora CEA Kimberlyn Maldonado esta ingresando a caja china para validación de polizas con el usuario de Yuly de manera temporal</t>
  </si>
  <si>
    <t>1/24/25</t>
  </si>
  <si>
    <t>11:12:31 p. m.</t>
  </si>
  <si>
    <t>1/25/25</t>
  </si>
  <si>
    <t>7:15:22 p. m.</t>
  </si>
  <si>
    <t>20h 2m</t>
  </si>
  <si>
    <t>INC0728285</t>
  </si>
  <si>
    <t>Claim Center</t>
  </si>
  <si>
    <t>Se informa que no contamos con acceso a claim center, la falla es masiva. Se genera ticket: INC0728285. Se valido por las 3 plataformas de citrix (workspace, web y gateway). Asimismo, la falla de claim esta perjudicando la integración con sigsa y nuevamente no carga las polizas</t>
  </si>
  <si>
    <t>2/15/25</t>
  </si>
  <si>
    <t>10:48:55 a. m.</t>
  </si>
  <si>
    <t>INC0737568</t>
  </si>
  <si>
    <t>Buenas tardes, se informa que se presenta falla masiva de Acselx12c no carga la pagina. Se ha generado el ticket: INC0737568. su gentil apoyo por favor</t>
  </si>
  <si>
    <t>3/10/25</t>
  </si>
  <si>
    <t>1:53:38 p. m.</t>
  </si>
  <si>
    <t>3:44:34 p. m.</t>
  </si>
  <si>
    <t>1h 50m</t>
  </si>
  <si>
    <t>INC0742605</t>
  </si>
  <si>
    <t>Claim Center / Policy Center</t>
  </si>
  <si>
    <t>Buenas noches, se informa que no contamos con acceso a Claim Center ni Policy Center, falla masiva. Se genero ticket: INC0742605</t>
  </si>
  <si>
    <t>3/21/25</t>
  </si>
  <si>
    <t>10:21:45 p. m.</t>
  </si>
  <si>
    <t>INC0746210</t>
  </si>
  <si>
    <t>Avaya Browser</t>
  </si>
  <si>
    <t>Buen día y , se genera el ticket INC0746210 por la desconexión del Avaya Browser de manera masiva a las 08:06 y aunque se restableció a las 08:16, esto a generado que no pueda sacar reportes desde el Avaya Contac, por favor su apoyo se queda cargando (se restableció a las 08:16, según lo reportado en el mismo mensaje)</t>
  </si>
  <si>
    <t>4/1/25</t>
  </si>
  <si>
    <t>8:06 a. m.</t>
  </si>
  <si>
    <t>8:16 a. m.</t>
  </si>
  <si>
    <t>0h 10m</t>
  </si>
  <si>
    <t>INC0747905</t>
  </si>
  <si>
    <t>Policy</t>
  </si>
  <si>
    <t>Buenas noches. Se reporta que no se cuenta con policy, figura error: Service Unavailable. La falla es masiva , se genero el ticket INC0747905</t>
  </si>
  <si>
    <t>4/4/25</t>
  </si>
  <si>
    <t>10:25:04 p. m.</t>
  </si>
  <si>
    <t>INC0750663</t>
  </si>
  <si>
    <t>Buenos dias. Se reporta que se presenta la falla masiva con la caja china, se puede acceder al aplicativo pero no arroja búsquedas con la póliza ni datos de placa motor ni chasis. Se genero ticket: INC0750663</t>
  </si>
  <si>
    <t>4/13/25</t>
  </si>
  <si>
    <t>5:48:24 a. m.</t>
  </si>
  <si>
    <t>INC0750707</t>
  </si>
  <si>
    <t>Se presenta la falla masiva Acselx , cuando se ingresa con el usuario figura error: *Error, el servicio de validación de usuario no funciono.* Se genero ticket: INC0750707</t>
  </si>
  <si>
    <t>1:38:06 p. m.</t>
  </si>
  <si>
    <t>INC0750740</t>
  </si>
  <si>
    <t>CRM</t>
  </si>
  <si>
    <t>Se presenta falla masiva al ingresar a CRM. sale error. *Se genero ticket INC0750740* tu gentil apoyo por favor</t>
  </si>
  <si>
    <t>9:29:39 p. m.</t>
  </si>
  <si>
    <t>INC0752305</t>
  </si>
  <si>
    <t>SIA</t>
  </si>
  <si>
    <t>Buenas noches, se reporta que la pagina del SIA no carga, la falla presentada es masiva. Se genera ticket: INC0752305</t>
  </si>
  <si>
    <t>4/16/25</t>
  </si>
  <si>
    <t>8:06:06 p. m.</t>
  </si>
  <si>
    <t>INC0752861</t>
  </si>
  <si>
    <t>Avaya Contact / GRTD</t>
  </si>
  <si>
    <t>Buenos días, se reporta que se ha perdido conexión con el avaya contact y que se ha desconectado a los asesores y nos les permite volver a a ingresar. pf tu gentil apoyo la falla es masiva. se genero ticket: INC0752861</t>
  </si>
  <si>
    <t>4/20/25</t>
  </si>
  <si>
    <t>7:12:30 a. m.</t>
  </si>
  <si>
    <t>10:01:18 a. m.</t>
  </si>
  <si>
    <t>2h 48m</t>
  </si>
  <si>
    <t>INC0753798</t>
  </si>
  <si>
    <t>Se genero el ticket: INC0753798, por favor su apoyo ya que la falla es masiva</t>
  </si>
  <si>
    <t>4/22/25</t>
  </si>
  <si>
    <t>4:21:43 p. m.</t>
  </si>
  <si>
    <t>4/23/25</t>
  </si>
  <si>
    <t>1:03:58 p. m.</t>
  </si>
  <si>
    <t>20h 42m</t>
  </si>
  <si>
    <t>INC0754202</t>
  </si>
  <si>
    <t>Por favor tu amable apoyo en revisar la falla masiva en la creación de siniestro en SW. Al momento de acceder permite colocar usuario, contraseña, podemos acceder a la ficha de registro del siniestro, pero cuando le damos guardar aparece error lo cual impide poder generar el numero de siniestro. Asimismo, tampoco permite cambiar el sub estado a los siniestros creados con anterioridad a la falla. INC0754202</t>
  </si>
  <si>
    <t>1:07:52 p. m.</t>
  </si>
  <si>
    <t>4/24/25</t>
  </si>
  <si>
    <t>9:33:28 a. m.</t>
  </si>
  <si>
    <t>20h 25m</t>
  </si>
  <si>
    <t>Avaya</t>
  </si>
  <si>
    <t>Buenas noches, por favor su apoyo ya que no podemos establecer conexión con avaya, es una falla masiva</t>
  </si>
  <si>
    <t>5/20/25</t>
  </si>
  <si>
    <t>9:34:24 p. m.</t>
  </si>
  <si>
    <t>Sigsa</t>
  </si>
  <si>
    <t>Comprendo, por favor tu apoyo con la alerta indicada en elevar el ticket por la falla masiva de Sigsa que no esta buscando polizas</t>
  </si>
  <si>
    <t>6/6/25</t>
  </si>
  <si>
    <t>8:52:31 a. m.</t>
  </si>
  <si>
    <t>INC0790677</t>
  </si>
  <si>
    <t>Citrix (intermitencia/desconexión)</t>
  </si>
  <si>
    <t>Buenas tardes, se reporta la intermitencia en Citrix de manera masiva, el equipo de CEA presenta constante desconexion y demora en la apertura de aplicativos, en otros casos no abren. Se genera ticket INC0790677</t>
  </si>
  <si>
    <t>7/14/25</t>
  </si>
  <si>
    <t>3:10:11 p. m.</t>
  </si>
  <si>
    <t>7/15/25</t>
  </si>
  <si>
    <t>3:06:42 p. m.</t>
  </si>
  <si>
    <t>23h 56m</t>
  </si>
  <si>
    <t>La falla de acceso al Acsel X 12C es masivo te generó el ticket para tu apoyo en elevarlo con TI por favor</t>
  </si>
  <si>
    <t>7/16/25</t>
  </si>
  <si>
    <t>3:18:58 p. m.</t>
  </si>
  <si>
    <t>3:28:19 p. m.</t>
  </si>
  <si>
    <t>0h 9m</t>
  </si>
  <si>
    <t>Srta se esta revisando internamente y es un inconveniente MASIVO al acceder a las apps dentro de Citrix</t>
  </si>
  <si>
    <t>8/14/25</t>
  </si>
  <si>
    <t>12:37:31 p. m.</t>
  </si>
  <si>
    <t>1:54:30 p. m.</t>
  </si>
  <si>
    <t>1h 16m</t>
  </si>
  <si>
    <t>INC0807021</t>
  </si>
  <si>
    <t>Buenas tardes, se reporta que se presenta falla en Acselx 12c la pagina no carga y se queda en negro no permite el acceso. La falla es masiva, se genera ticket INC0807021</t>
  </si>
  <si>
    <t>8/18/25</t>
  </si>
  <si>
    <t>5:20:06 p. m.</t>
  </si>
  <si>
    <t>5:57:58 p. m.</t>
  </si>
  <si>
    <t>INC0809744</t>
  </si>
  <si>
    <t>Buenas noches, se infroma que no se puede acceder al Acselx 12c, no logra cargar para ingresar usuario de correo o se queda en negro al ingresar. La falla es masiva y no se puede visualizar las poliza y coberturas. Se genero ticket: INC0809744</t>
  </si>
  <si>
    <t>8/22/25</t>
  </si>
  <si>
    <t>7:56:36 p. m.</t>
  </si>
  <si>
    <t>INC0810176</t>
  </si>
  <si>
    <t>Buen día por favor tu amable apoyo para elevar el ticket:INC0810176 generado por la falla masiva de siniestros web. Al momento de intentar cambiar el sub estado a los siniestros arroja error, ese mismo error arroja cuando se intenta crear siniestros nuevos</t>
  </si>
  <si>
    <t>8/25/25</t>
  </si>
  <si>
    <t>11:18:32 a. m.</t>
  </si>
  <si>
    <t>12:55:55 p. m.</t>
  </si>
  <si>
    <t>1h 37m</t>
  </si>
  <si>
    <t>INC0818676</t>
  </si>
  <si>
    <t>Se genero ticket INC0818676 por falla masiva en Siniestros web</t>
  </si>
  <si>
    <t>9/16/25</t>
  </si>
  <si>
    <t>9:34:40 a. m.</t>
  </si>
  <si>
    <t>INC0826508</t>
  </si>
  <si>
    <t>Buenos dias. Se reporta que hay falla en cada china, figura error luego de agregar usuario y contraseña. Falla masiva del CEA, su apoyo con la revision bajo el ticket: *INC0826508*</t>
  </si>
  <si>
    <t>10/1/25</t>
  </si>
  <si>
    <t>9:57:16 a. m.</t>
  </si>
  <si>
    <t>INC0830712</t>
  </si>
  <si>
    <t>*Buenas noches, se reporta que la falla con Acselx es masivo, se genero ticket: INC0830712.*</t>
  </si>
  <si>
    <t>10/10/25</t>
  </si>
  <si>
    <t>7:52:30 p. m.</t>
  </si>
  <si>
    <t>INC0832867</t>
  </si>
  <si>
    <t>Por favor tu apoyo en elevar el ticket., INC0832867, no hay acceso al app AcselX12C, el incidente es masivo</t>
  </si>
  <si>
    <t>10/15/25</t>
  </si>
  <si>
    <t>1:12:20 p. m.</t>
  </si>
  <si>
    <t>Srta en este momento se esta teniendo varios inconvenientes masivos en varios servicios de Pacifico. Uno de ellos es citrix por lo cual no carga citrix a la asesora Angela, se va a informar en cuanto se solucione porfavor</t>
  </si>
  <si>
    <t>10/29/25</t>
  </si>
  <si>
    <t>12:23:30 p. m.</t>
  </si>
  <si>
    <t>INC0841742</t>
  </si>
  <si>
    <t>Buenos dias, se informa que la falla de claim center persiste, aún no permite siniestrar y la falla es masiva, se genera ticket *INC0841742* para su atencion</t>
  </si>
  <si>
    <t>11/1/25</t>
  </si>
  <si>
    <t>7:22:17 a. m.</t>
  </si>
  <si>
    <t>WhatsApp Web</t>
  </si>
  <si>
    <t>Buen dia, para informar que se tiene falla masiva con whatsapp web</t>
  </si>
  <si>
    <t>11/4/25</t>
  </si>
  <si>
    <t>9:47:49 a. m.</t>
  </si>
  <si>
    <t>10:22:23 a. m.</t>
  </si>
  <si>
    <t>0h 34m</t>
  </si>
  <si>
    <t>INC0847233</t>
  </si>
  <si>
    <t>Buenos días, se presenta falla masiva con el acselx 12c se queda cargando y no se puede acceder a la búsqueda de información. Se genero ticket: INC0847233</t>
  </si>
  <si>
    <t>11/14/25</t>
  </si>
  <si>
    <t>7:41:56 a. m.</t>
  </si>
  <si>
    <t>5:38:19 p. m.</t>
  </si>
  <si>
    <t>9h 56m</t>
  </si>
  <si>
    <t>INC0847940</t>
  </si>
  <si>
    <t>Buenos días, se informa que se presenta falla masiva con los aplicativos de Guideware en las búsquedas y creación de siniestros, se genero el ticket *INC0847940.*</t>
  </si>
  <si>
    <t>11/15/25</t>
  </si>
  <si>
    <t>7:25:37 a. m.</t>
  </si>
  <si>
    <t>8:58:20 a. m.</t>
  </si>
  <si>
    <t>1h 32m</t>
  </si>
  <si>
    <t>INC0859093</t>
  </si>
  <si>
    <t>Aplicativos Citrix</t>
  </si>
  <si>
    <t>Por favor tu amable apoyo en elevar el ticket INC0859093, tenemos una falla masiva, al momento de intentar acceder a los aplicativos de citrix arroja error</t>
  </si>
  <si>
    <t>12/10/25</t>
  </si>
  <si>
    <t>3:14:09 p. m.</t>
  </si>
  <si>
    <t>11:33:46 p. m.</t>
  </si>
  <si>
    <t>8h 19m</t>
  </si>
  <si>
    <t>INC0869699</t>
  </si>
  <si>
    <t>Central Telefónica (corte de llamadas)</t>
  </si>
  <si>
    <t>Buenas tardes, segun lo conversado se regulariza el ticket por el corte de llamadas de manera masiva que se sufrió en dos ocasiones, afectando al CEA y CC. INC0869699</t>
  </si>
  <si>
    <t>1/5/26</t>
  </si>
  <si>
    <t>6:41:57 p. m.</t>
  </si>
  <si>
    <t>1/7/26</t>
  </si>
  <si>
    <t>5:05:51 p. m.</t>
  </si>
  <si>
    <t>1d 22h 23m</t>
  </si>
  <si>
    <t>INC0879714</t>
  </si>
  <si>
    <t>BUENAS TARDES, SE PRESENTA FALLA EN LA BUSQUEDA DE CAJA CHINA NO CARGA Y SALE ERROR EN ROJO. SU GENTIL APOYO ES MASIVO, SE GENERO TICKET: INC0879714</t>
  </si>
  <si>
    <t>1/20/26</t>
  </si>
  <si>
    <t>2:46:35 p. m.</t>
  </si>
  <si>
    <t>INC0893882</t>
  </si>
  <si>
    <t>Acsel X/12</t>
  </si>
  <si>
    <t>Tu apoyo por favor en elevar el ticket: INC0893882, tenemos falla de acceso al app Acsel X/12, al momento de intentar acceder nos arroja pantalla negra. La falla es masiva</t>
  </si>
  <si>
    <t>2/24/26</t>
  </si>
  <si>
    <t>11:19:21 a. m.</t>
  </si>
  <si>
    <t>11:40:22 a. m.</t>
  </si>
  <si>
    <t>0h 21m</t>
  </si>
  <si>
    <t>INC0894100</t>
  </si>
  <si>
    <t>Buenas tardes, se reporta que al ingresar usuario y contraseña en caja china figura error y no permite acceder para validar las polizas de Pacifico, la falla es masiva. Se genero ticket INC0894100</t>
  </si>
  <si>
    <t>5:38:28 p. m.</t>
  </si>
  <si>
    <t>INC0896017</t>
  </si>
  <si>
    <t>Policy Center / Caja China</t>
  </si>
  <si>
    <t>Se informa y reporta que POLICIY CENTER no esta cargando, figura falla: *"No se pudo iniciar el servidor. Póngase en contacto con su administrador del sistema."* Falla masiva su apoyo por favor, ticket: *INC0896017* tambien esta fallando caja china</t>
  </si>
  <si>
    <t>3/2/26</t>
  </si>
  <si>
    <t>9:13:55 a. m.</t>
  </si>
  <si>
    <t>WiFi (CEA / Asiste)</t>
  </si>
  <si>
    <t>Sr para informar que se está teniendo una falla masiva en cuanto al servicio de wifi por lo cual se esta presentando inconvenientes de lentitud e intermitencia</t>
  </si>
  <si>
    <t>3/4/26</t>
  </si>
  <si>
    <t>10:32:38 a. m.</t>
  </si>
  <si>
    <t>INC0909763</t>
  </si>
  <si>
    <t>Buenos días, se reporta que se presenta falla con siniestros web, falla masiva no permite ingresar a validar los siniestros o generar siniestros nuevos. se genera el ticket: *INC0909763*</t>
  </si>
  <si>
    <t>3/30/26</t>
  </si>
  <si>
    <t>9:26:08 a. m.</t>
  </si>
  <si>
    <t>3/31/26</t>
  </si>
  <si>
    <t>1:30:29 p. m.</t>
  </si>
  <si>
    <t>1d 4h 4m</t>
  </si>
  <si>
    <t>INC0911966</t>
  </si>
  <si>
    <t>AcselX12C</t>
  </si>
  <si>
    <t>Buen día por favor tu amable apoyo elevando el tciket: INC0911966 ya que, no contamos con acceso al AcselX12C. Error masivo</t>
  </si>
  <si>
    <t>4/6/26</t>
  </si>
  <si>
    <t>8:24:00 a. m.</t>
  </si>
  <si>
    <t>8:53:28 a. m.</t>
  </si>
  <si>
    <t>0h 29m</t>
  </si>
  <si>
    <t>INC0917730</t>
  </si>
  <si>
    <t>Acselx 12C / Caja China</t>
  </si>
  <si>
    <t>Buenas tardes, se reporta falla masiva de Acselx 12c no se puede acceder. Se genera ticket: INC0917730 Se informa que se presenta falla con Caja china , no carga al agregar el usuario y contraseña. Luego se queda en blanco y no permite avanzar. Se crea ticket INC0917745</t>
  </si>
  <si>
    <t>4/19/26</t>
  </si>
  <si>
    <t>1:43:35 p. m.</t>
  </si>
  <si>
    <t>3:33:53 p. m.</t>
  </si>
  <si>
    <t>INC0925953</t>
  </si>
  <si>
    <t>Caja China / Acselx 12C</t>
  </si>
  <si>
    <t>Buenas tardes, se presenta falla caja china que no reconoce polizas de la plataforma de acselx 12c, figura error. Falla masiva , su apoyo con la revision, se genero ticket: INC0925953</t>
  </si>
  <si>
    <t>5/9/26</t>
  </si>
  <si>
    <t>2:36:09 p. m.</t>
  </si>
  <si>
    <t>INC0927299</t>
  </si>
  <si>
    <t>Correo Corporativo</t>
  </si>
  <si>
    <t>Buenos días, se reporta que no se puede acceder al correo corporativo, demora en cargar y finalmente no se logra acceder. Su apoyo con la revisión, la falla es masiva. Se genero ticket: INC0927299</t>
  </si>
  <si>
    <t>5/13/26</t>
  </si>
  <si>
    <t>5/14/26</t>
  </si>
  <si>
    <t>8:34:56 a. m.</t>
  </si>
  <si>
    <t>22h 56m</t>
  </si>
  <si>
    <t>INC0930979</t>
  </si>
  <si>
    <t>Buenas tardes, se reporta falla masiva con Acselx no carga y se queda la pantalla en negro. Se genera ticket INC0930979</t>
  </si>
  <si>
    <t>5/21/26</t>
  </si>
  <si>
    <t>1:38:01 p. m.</t>
  </si>
  <si>
    <t>Acsel X</t>
  </si>
  <si>
    <t>Deyvis la falla es masiva, no se tiene acceso al Acsel X</t>
  </si>
  <si>
    <t>6/11/26</t>
  </si>
  <si>
    <t>11:24:06 a. m.</t>
  </si>
  <si>
    <t>Acsel X (remoto)</t>
  </si>
  <si>
    <t>La incidencia es masiva, el proveedor esta trabajando en ello</t>
  </si>
  <si>
    <t>6/17/26</t>
  </si>
  <si>
    <t>1:30:48 p. m.</t>
  </si>
  <si>
    <t>3:18:05 p. m.</t>
  </si>
  <si>
    <t>1h 47m</t>
  </si>
  <si>
    <t>Acsel X (se cuelga)</t>
  </si>
  <si>
    <t>Hola es un problema masivo que esta pasando a varios usuarios se le esta colgando el ascel x Buenas tardes , es un problema masivo hay varios usuarios presentando el mismo problema</t>
  </si>
  <si>
    <t>6/18/26</t>
  </si>
  <si>
    <t>1:50:10 p. m.</t>
  </si>
  <si>
    <t>INC0943970</t>
  </si>
  <si>
    <t>AcselX / Claim Center / Policy Center</t>
  </si>
  <si>
    <t>Buenos días, se reporta que los aplicativos de acselx, claim y policy no cargan. La falla es masiva, se genero ticket: INC0943970</t>
  </si>
  <si>
    <t>7/13/26</t>
  </si>
  <si>
    <t>10:49:03 a. m.</t>
  </si>
  <si>
    <t>INC0943972</t>
  </si>
  <si>
    <t>Se genero otro ticket: *sigsa no esta reconociendo las pólizas al momento de la búsqueda* con datos de placa, motor y chasis. Falla masiva, se genero ticket: *INC0943972*</t>
  </si>
  <si>
    <t>10:52:19 a. m.</t>
  </si>
  <si>
    <t>Estamos presentando desconexion masiva de Citrix y los aplicativos estan demorando en cargar para ingresar nuestras credencial, se genera el ticket</t>
  </si>
  <si>
    <t>7/20/26</t>
  </si>
  <si>
    <t>10:55:22 a. m.</t>
  </si>
  <si>
    <t>11:30:06 a. m.</t>
  </si>
  <si>
    <t>INC0946319</t>
  </si>
  <si>
    <t>Citrix Workplace</t>
  </si>
  <si>
    <t>Buenos días, se *reporta falla masiva* de intermitencia en citrix workplace, se presenta desconexión constante y no abren los aplicativos. Su apoyo urgente con la revisión, se genero ticket INC0946319</t>
  </si>
  <si>
    <t>7/22/26</t>
  </si>
  <si>
    <t>10:02:04 a. m.</t>
  </si>
  <si>
    <t>5:55:55 p. m.</t>
  </si>
  <si>
    <t>7h 53m</t>
  </si>
  <si>
    <t>INC0947257</t>
  </si>
  <si>
    <t>Central de Emergencias (llamadas salientes)</t>
  </si>
  <si>
    <t>Buenos días, se informa que no se pueden realizar llamadas salientes, al marcar suena un pitido desde aprox 7:15 am, la falla es masiva de toda la central de emergencia. Se genera ticket: INC0947257. tu apoyo con el caso por favor</t>
  </si>
  <si>
    <t>7/29/26</t>
  </si>
  <si>
    <t>7:28:36 a. m.</t>
  </si>
  <si>
    <t>7:55:06 a. m.</t>
  </si>
  <si>
    <t>0h 26m</t>
  </si>
  <si>
    <t>INC0947852</t>
  </si>
  <si>
    <t>Acselx</t>
  </si>
  <si>
    <t>Buenos días. Se reporta que se presenta falla con Acselx no carga la página y no se puede acceder para revisar las coberturas y detalles de la póliza. La falla es masiva, se genera ticket: INC0947852</t>
  </si>
  <si>
    <t>8/2/26</t>
  </si>
  <si>
    <t>8:07:48 a. m.</t>
  </si>
  <si>
    <t>INC0949984</t>
  </si>
  <si>
    <t>Buenas noches, se genera ticket INC0949984 sigsa no esta reconociendo las pólizas al momento de la búsqueda tanto con los datos de placa, motor y chasis. La falla es masiva</t>
  </si>
  <si>
    <t>8/12/26</t>
  </si>
  <si>
    <t>10:33:02 p. m.</t>
  </si>
  <si>
    <t>INC0951538</t>
  </si>
  <si>
    <t>Buenas tardes, se reporta FALLA MASIVA DE CAJA CHINA. No carga al ingresar las credenciales y no permite realizar las búsquedas de póliza con los datos de la unidad o asegurado. Ticket: INC0951538 tu apoyo para elevar el ticket</t>
  </si>
  <si>
    <t>8/19/26</t>
  </si>
  <si>
    <t>6:26:07 p. m.</t>
  </si>
  <si>
    <t>8/20/26</t>
  </si>
  <si>
    <t>5:07:58 p. m.</t>
  </si>
  <si>
    <t>22h 41m</t>
  </si>
  <si>
    <t>INC0951556</t>
  </si>
  <si>
    <t>Buenas noches. Se reporta que se presenta falla con siniestros web, no permite ingresar los datos para la creación del siniestro. Falla masiva. Ticket: *INC0951556*</t>
  </si>
  <si>
    <t>8:25:44 p. m.</t>
  </si>
  <si>
    <t>INC0951788</t>
  </si>
  <si>
    <t>Acsel X/12C</t>
  </si>
  <si>
    <t>Se informa el ticket regularizado por la falla masiva de Acsel X/12C INC0951788</t>
  </si>
  <si>
    <t>3:13:04 p. m.</t>
  </si>
  <si>
    <t>Call de Servicios</t>
  </si>
  <si>
    <t>Troncal Telefónica (Konecta-Pacífico)</t>
  </si>
  <si>
    <t>No ingresan llamadas por el 4151515 y el 5135000; se identificó como causa la caída de la troncal que une Konecta con Pacífico.</t>
  </si>
  <si>
    <t>7/19/24</t>
  </si>
  <si>
    <t>11:04 a. m.</t>
  </si>
  <si>
    <t>11:12 a. m.</t>
  </si>
  <si>
    <t>0h 8m</t>
  </si>
  <si>
    <t>Central Telefónica (4151515 / 5135000, TDP)</t>
  </si>
  <si>
    <t>Caída masiva del operador telefónico TDP; no entran llamadas al 415 ni al 513.</t>
  </si>
  <si>
    <t>6:55 a. m.</t>
  </si>
  <si>
    <t>8:04 a. m.</t>
  </si>
  <si>
    <t>1h 9m</t>
  </si>
  <si>
    <t>Genesys</t>
  </si>
  <si>
    <t>No se pueden realizar llamadas salientes desde Genesys.</t>
  </si>
  <si>
    <t>10/7/24</t>
  </si>
  <si>
    <t>12:57 p. m.</t>
  </si>
  <si>
    <t>No se puede realizar llamadas salientes desde Avaya.</t>
  </si>
  <si>
    <t>1:05 p. m.</t>
  </si>
  <si>
    <t>1:16 p. m.</t>
  </si>
  <si>
    <t>0h 11m</t>
  </si>
  <si>
    <t>Central de Emergencias y Asiste (opción 9 del 415)</t>
  </si>
  <si>
    <t>Problemas con la opción 9 del 415; se activa comunicado de contingencia por inconvenientes técnicos en la Central de Emergencias y Asiste.</t>
  </si>
  <si>
    <t>10/18/24</t>
  </si>
  <si>
    <t>6:38 p. m.</t>
  </si>
  <si>
    <t>7:58 p. m.</t>
  </si>
  <si>
    <t>1h 19m</t>
  </si>
  <si>
    <t>Avería masiva de Telefónica que afecta las centrales telefónicas.</t>
  </si>
  <si>
    <t>9:53 a. m.</t>
  </si>
  <si>
    <t>11:35 a. m.</t>
  </si>
  <si>
    <t>1h 41m</t>
  </si>
  <si>
    <t>Central Telefónica / Emergencias (Konecta)</t>
  </si>
  <si>
    <t>Caída de las opciones de emergencia por el lado de telefonía de Konecta.</t>
  </si>
  <si>
    <t>12:05 p. m.</t>
  </si>
  <si>
    <t>12:09 p. m.</t>
  </si>
  <si>
    <t>0h 4m</t>
  </si>
  <si>
    <t>Central Telefónica (opciones 4.1 / 3.5)</t>
  </si>
  <si>
    <t>Por la opción 4.1 timbra pero no ingresa la llamada al asesor; igual sucede por la opción 3.5.</t>
  </si>
  <si>
    <t>2/12/25</t>
  </si>
  <si>
    <t>8:15 a. m.</t>
  </si>
  <si>
    <t>8:48 a. m.</t>
  </si>
  <si>
    <t>0h 32m</t>
  </si>
  <si>
    <t>Central Telefónica (opción 4 del 4151515)</t>
  </si>
  <si>
    <t>Aparente caída en el ingreso de llamadas a las centrales; por el 4151515 al marcar la opción 4 queda vacío o se corta la llamada.</t>
  </si>
  <si>
    <t>2/26/25</t>
  </si>
  <si>
    <t>5:43 p. m.</t>
  </si>
  <si>
    <t>6:18 p. m.</t>
  </si>
  <si>
    <t>0h 35m</t>
  </si>
  <si>
    <t>Central Telefónica (opciones 4.1 / 8.2)</t>
  </si>
  <si>
    <t>Reportan que no ingresan llamadas por las opciones 4.1 y 8.2.</t>
  </si>
  <si>
    <t>8:29 a. m.</t>
  </si>
  <si>
    <t>8:36 a. m.</t>
  </si>
  <si>
    <t>0h 6m</t>
  </si>
  <si>
    <t>SITEDS</t>
  </si>
  <si>
    <t>Caída de SITEDS (EPS y PPS); se activa Plan de Contingencia y se detienen transferencias a Salud.</t>
  </si>
  <si>
    <t>5:15 p. m.</t>
  </si>
  <si>
    <t>5:38 p. m.</t>
  </si>
  <si>
    <t>0h 22m</t>
  </si>
  <si>
    <t>Nueva caída de SITEDS; Salud queda encolado y se solicita no transferir hasta nuevo aviso.</t>
  </si>
  <si>
    <t>6/15/26</t>
  </si>
  <si>
    <t>9:50 a. m.</t>
  </si>
  <si>
    <t>Genesys Pacífico (transferencias a Vida/Otros Seguros)</t>
  </si>
  <si>
    <t>No permite transferir llamadas entre Vida/Otros Seguros y Salud, por rechazo detectado en Genesys Pacífico.</t>
  </si>
  <si>
    <t>9:28 a. m.</t>
  </si>
  <si>
    <t>10:37 a. m.</t>
  </si>
  <si>
    <t>Central Telefónica (5135000 / 4151515, enlace Chorrillos-Convexus)</t>
  </si>
  <si>
    <t>No ingresan llamadas a través del 5135000 ni del 4151515; causa raíz en el SBC de Avaya / servidor de Chorrillos (Convexus).</t>
  </si>
  <si>
    <t>6/20/26</t>
  </si>
  <si>
    <t>4:47 p. m.</t>
  </si>
  <si>
    <t>8:21 p. m.</t>
  </si>
  <si>
    <t>3h 34m</t>
  </si>
  <si>
    <t>Call Médico</t>
  </si>
  <si>
    <t>Avaya (vía Konecta)</t>
  </si>
  <si>
    <t>Falla masiva que afectó el Avaya del equipo, reportada por el SOC de Konecta; no ingresaban llamadas al 5135000.</t>
  </si>
  <si>
    <t>8/12/24</t>
  </si>
  <si>
    <t>11:05 a. m.</t>
  </si>
  <si>
    <t>11:13 a. m.</t>
  </si>
  <si>
    <t>0h 7m</t>
  </si>
  <si>
    <t>Central Telefónica (415 / 5135000, TDP)</t>
  </si>
  <si>
    <t>No permite el timbrado al marcar los teléfonos de la central; no ingresan llamadas de los asegurados por el 415 ni el 5135000.</t>
  </si>
  <si>
    <t>6:34 a. m.</t>
  </si>
  <si>
    <t>Central Telefónica (opciones 4 / 3 / 8 del 415)</t>
  </si>
  <si>
    <t>Por el 4151515 no ingresa la llamada a la opción 4; por el 5135000 solo timbra sin conectar (Platino y tradicional). Se deriva a Convexus.</t>
  </si>
  <si>
    <t>8:20 a. m.</t>
  </si>
  <si>
    <t>10:43 a. m.</t>
  </si>
  <si>
    <t>2h 22m</t>
  </si>
  <si>
    <t>Central Telefónica (CIC)</t>
  </si>
  <si>
    <t>No ingresan llamadas al CIC; se coordina con Crossnet la revisión.</t>
  </si>
  <si>
    <t>4/19/25</t>
  </si>
  <si>
    <t>8:44 a. m.</t>
  </si>
  <si>
    <t>9:07 a. m.</t>
  </si>
  <si>
    <t>0h 23m</t>
  </si>
  <si>
    <t>Internet / Llamadas (CIC Salud)</t>
  </si>
  <si>
    <t>Se cortan las llamadas en línea; se identifica como causa la lentitud del internet, afectando comunicación y chat.</t>
  </si>
  <si>
    <t>6/3/25</t>
  </si>
  <si>
    <t>5:34 p. m.</t>
  </si>
  <si>
    <t>Internet / Llamadas (toda la planta)</t>
  </si>
  <si>
    <t>Corte de llamadas en toda la planta; comunicaciones entrecortadas por intermitencia del internet (afectación de servicios de Google en la nube usados por Genesys).</t>
  </si>
  <si>
    <t>6/12/25</t>
  </si>
  <si>
    <t>6/13/25</t>
  </si>
  <si>
    <t>10:38 a. m.</t>
  </si>
  <si>
    <t>1d 2h 1m</t>
  </si>
  <si>
    <t>Llamadas (todas las opciones)</t>
  </si>
  <si>
    <t>Se cortan todas las llamadas en línea; no permite devolver la llamada ni marcando el 7 adelante.</t>
  </si>
  <si>
    <t>7/9/25</t>
  </si>
  <si>
    <t>11:26 a. m.</t>
  </si>
  <si>
    <t>11:31 a. m.</t>
  </si>
  <si>
    <t>Incidencia masiva de Citrix reportada por Pacífico Seguro.</t>
  </si>
  <si>
    <t>9/30/25</t>
  </si>
  <si>
    <t>6:02 p. m.</t>
  </si>
  <si>
    <t>Se cortan las llamadas por todas las opciones (415, 513, 626); solo la opción 9 de emergencia ingresa con normalidad.</t>
  </si>
  <si>
    <t>8:42 a. m.</t>
  </si>
  <si>
    <t>Central Telefónica / Genesys</t>
  </si>
  <si>
    <t>Se cortan las llamadas y se coloca en estado 'No responde'.</t>
  </si>
  <si>
    <t>12/5/25</t>
  </si>
  <si>
    <t>3:02 p. m.</t>
  </si>
  <si>
    <t>3:21 p. m.</t>
  </si>
  <si>
    <t>0h 18m</t>
  </si>
  <si>
    <t>Se repite el mismo incidente de corte de llamadas por segunda vez en el día.</t>
  </si>
  <si>
    <t>4:02 p. m.</t>
  </si>
  <si>
    <t>4:16 p. m.</t>
  </si>
  <si>
    <t>0h 13m</t>
  </si>
  <si>
    <t>Central Telefónica (4151515)</t>
  </si>
  <si>
    <t>No ingresan las llamadas al 4151515 desde el inicio de la llamada, solo queda timbrando; se confirma que solo la central de Pacífico está caída.</t>
  </si>
  <si>
    <t>5:59 p. m.</t>
  </si>
  <si>
    <t>Central Telefónica (5135000 / 415, opciones de emergencia)</t>
  </si>
  <si>
    <t>No ingresan llamadas por la opción 8.2 ni 4.1; por el 5135000 no ingresan las llamadas de emergencia.</t>
  </si>
  <si>
    <t>1/24/26</t>
  </si>
  <si>
    <t>4:15 p. m.</t>
  </si>
  <si>
    <t>4:32 p. m.</t>
  </si>
  <si>
    <t>0h 16m</t>
  </si>
  <si>
    <t>Se repite el corte de llamadas por segunda vez en el día; la central de Pacífico no responde ante Convexus.</t>
  </si>
  <si>
    <t>5:08 p. m.</t>
  </si>
  <si>
    <t>Genesys / Avaya</t>
  </si>
  <si>
    <t>Las llamadas se pierden y no ingresan al asesor; se activa contingencia configurando usuarios en Avaya mientras se revisa con Crossnet.</t>
  </si>
  <si>
    <t>2/9/26</t>
  </si>
  <si>
    <t>Llamadas (toda la planta)</t>
  </si>
  <si>
    <t>Las llamadas quedaron pegadas sin finalizar; se solucionó el inconveniente, fueron 4 usuarios afectados.</t>
  </si>
  <si>
    <t>3/19/26</t>
  </si>
  <si>
    <t>3:15 p. m.</t>
  </si>
  <si>
    <t>3:24 p. m.</t>
  </si>
  <si>
    <t>Llamadas (varias posiciones)</t>
  </si>
  <si>
    <t>Se cortan las llamadas por unos segundos y se restablecen; las llamadas que ingresan se escuchan entrecortadas.</t>
  </si>
  <si>
    <t>5/27/26</t>
  </si>
  <si>
    <t>3:23 p. m.</t>
  </si>
  <si>
    <t>Nueva caída de SITEDS; se informó a Pacífico sin respuesta de solución.</t>
  </si>
  <si>
    <t>6/16/26</t>
  </si>
  <si>
    <t>9:09 a. m.</t>
  </si>
  <si>
    <t>Central Telefónica / Genesys (CIC Salud y Especialistas)</t>
  </si>
  <si>
    <t>No están ingresando llamadas al CIC Salud ni a Especialistas Salud; tampoco entran llamadas a la central de emergencias. Se activa contingencia con Avaya.</t>
  </si>
  <si>
    <t>3:13 p. m.</t>
  </si>
  <si>
    <t>3:57 p. m.</t>
  </si>
  <si>
    <t>0h 43m</t>
  </si>
  <si>
    <t>Llamadas (equipo de especialistas)</t>
  </si>
  <si>
    <t>Se cortaron las llamadas del equipo de especialistas; volvieron a ingresar con normalidad de inmediato.</t>
  </si>
  <si>
    <t>6/25/26</t>
  </si>
  <si>
    <t>6:15 p. m.</t>
  </si>
  <si>
    <t>Llamadas</t>
  </si>
  <si>
    <t>Se cortan las llamadas y se cambia a estado 'No listo'; comunicación entrecortada, sistemas lentos para ingresar a aplicativos.</t>
  </si>
  <si>
    <t>8/4/26</t>
  </si>
  <si>
    <t>9:11 a. m.</t>
  </si>
  <si>
    <t>CIC Salud</t>
  </si>
  <si>
    <t>Se presenta una incidencia en SITEDS; se aplica Plan de Contingencia mientras se revisa.</t>
  </si>
  <si>
    <t>3/5/26</t>
  </si>
  <si>
    <t>5:21 p. m.</t>
  </si>
  <si>
    <t>0h 49m</t>
  </si>
  <si>
    <t>Caída de Sited; se apertura Plan de Contingencia.</t>
  </si>
  <si>
    <t>5/5/26</t>
  </si>
  <si>
    <t>8:46 a. m.</t>
  </si>
  <si>
    <t>9:15 a. m.</t>
  </si>
  <si>
    <t>4:11 p. m.</t>
  </si>
  <si>
    <t>5:47 p. m.</t>
  </si>
  <si>
    <t>1h 36m</t>
  </si>
  <si>
    <t>9:32 a. m.</t>
  </si>
  <si>
    <t>2:48 p. m.</t>
  </si>
  <si>
    <t>5h 16m</t>
  </si>
  <si>
    <t>Caída de Sited; se apertura Plan de Contingencia (reabierto la misma noche y reconfirmado a la mañana siguiente).</t>
  </si>
  <si>
    <t>5:36 p. m.</t>
  </si>
  <si>
    <t>2:30 p. m.</t>
  </si>
  <si>
    <t>20h 54m</t>
  </si>
  <si>
    <t>Caída de Sited; se apertura Plan de Contingencia (reabierto al día siguiente y reportado como 'sigue abierto'; se confirma el 25/jun que terminó el día anterior, 24/jun, sin hora exacta de cierre registrada).</t>
  </si>
  <si>
    <t>6/22/26</t>
  </si>
  <si>
    <t>8:41 a. m.</t>
  </si>
  <si>
    <t>6/24/26</t>
  </si>
  <si>
    <t>Se activó Plan de Contingencia (solo atender primera atención).</t>
  </si>
  <si>
    <t>10:44 a. m.</t>
  </si>
  <si>
    <t>8/7/26</t>
  </si>
  <si>
    <t>2:28 p. m.</t>
  </si>
  <si>
    <t>DÍA</t>
  </si>
  <si>
    <t>MES</t>
  </si>
  <si>
    <t>AÑO</t>
  </si>
  <si>
    <t>Cuenta de Incidentes</t>
  </si>
  <si>
    <t>Etiquetas de fila</t>
  </si>
  <si>
    <t>1</t>
  </si>
  <si>
    <t>2</t>
  </si>
  <si>
    <t>3</t>
  </si>
  <si>
    <t>4</t>
  </si>
  <si>
    <t>5</t>
  </si>
  <si>
    <t>6</t>
  </si>
  <si>
    <t>7</t>
  </si>
  <si>
    <t>8</t>
  </si>
  <si>
    <t>Total general</t>
  </si>
  <si>
    <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</si>
</sst>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charset val="1"/>
    </font>
    <font>
      <sz val="10"/>
      <name val="Arial"/>
      <charset val="1"/>
    </font>
  </fonts>
  <fills count="7">
    <fill>
      <patternFill patternType="none"/>
    </fill>
    <fill>
      <patternFill patternType="gray125"/>
    </fill>
    <fill>
      <patternFill patternType="solid">
        <fgColor rgb="FF4472C4"/>
        <bgColor rgb="FF666699"/>
      </patternFill>
    </fill>
    <fill>
      <patternFill patternType="solid">
        <fgColor rgb="FFDDEBF7"/>
        <bgColor rgb="FFE2EFDA"/>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2" fillId="0" borderId="0" xfId="0" applyFont="1" applyAlignment="1">
      <alignment vertical="top"/>
    </xf>
    <xf numFmtId="0" fontId="2" fillId="3" borderId="0" xfId="0" applyFont="1" applyFill="1" applyAlignment="1">
      <alignment vertical="top"/>
    </xf>
    <xf numFmtId="0" fontId="2" fillId="0" borderId="0" xfId="0" applyFont="1" applyAlignment="1">
      <alignment vertical="top" wrapText="1"/>
    </xf>
    <xf numFmtId="0" fontId="2" fillId="4" borderId="0" xfId="0" applyFont="1" applyFill="1" applyAlignment="1">
      <alignment vertical="top"/>
    </xf>
    <xf numFmtId="0" fontId="2" fillId="5" borderId="0" xfId="0" applyFont="1" applyFill="1" applyAlignment="1">
      <alignment vertical="top"/>
    </xf>
    <xf numFmtId="0" fontId="2" fillId="6" borderId="0" xfId="0" applyFont="1" applyFill="1" applyAlignment="1">
      <alignment vertical="top"/>
    </xf>
    <xf numFmtId="0" fontId="0" fillId="0" borderId="0" xfId="0" pivotButton="1"/>
    <xf numFmtId="0" fontId="0" fillId="0" borderId="0" xfId="0" applyNumberFormat="1"/>
    <xf numFmtId="0" fontId="0" fillId="0" borderId="0" xfId="0" applyAlignment="1">
      <alignment horizontal="left"/>
    </xf>
  </cellXfs>
  <cellStyles count="1">
    <cellStyle name="Normal" xfId="0" builtinId="0"/>
  </cellStyles>
  <dxfs count="15">
    <dxf>
      <font>
        <b/>
        <i val="0"/>
        <strike val="0"/>
        <condense val="0"/>
        <extend val="0"/>
        <outline val="0"/>
        <shadow val="0"/>
        <u val="none"/>
        <vertAlign val="baseline"/>
        <sz val="11"/>
        <color rgb="FFFFFFFF"/>
        <name val="Arial"/>
        <charset val="1"/>
        <scheme val="none"/>
      </font>
      <fill>
        <patternFill patternType="solid">
          <fgColor rgb="FF666699"/>
          <bgColor rgb="FF4472C4"/>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charset val="1"/>
        <scheme val="none"/>
      </font>
      <fill>
        <patternFill patternType="solid">
          <fgColor rgb="FFFFF2CC"/>
          <bgColor rgb="FFFCE4D6"/>
        </patternFill>
      </fill>
      <alignment horizontal="general" vertical="top"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IAL" refreshedDate="46255.753118865738" createdVersion="8" refreshedVersion="8" minRefreshableVersion="3" recordCount="114" xr:uid="{A65E1D97-CCE1-48A6-9B62-4FD14DEC1835}">
  <cacheSource type="worksheet">
    <worksheetSource ref="A1:M115" sheet="Incidentes Masivos"/>
  </cacheSource>
  <cacheFields count="13">
    <cacheField name="Área" numFmtId="0">
      <sharedItems count="4">
        <s v="Call de Atención"/>
        <s v="Call de Servicios"/>
        <s v="Call Médico"/>
        <s v="CIC Salud"/>
      </sharedItems>
    </cacheField>
    <cacheField name="Ticket" numFmtId="0">
      <sharedItems containsBlank="1"/>
    </cacheField>
    <cacheField name="Aplicación" numFmtId="0">
      <sharedItems/>
    </cacheField>
    <cacheField name="Incidentes" numFmtId="0">
      <sharedItems longText="1"/>
    </cacheField>
    <cacheField name="DÍA" numFmtId="0">
      <sharedItems/>
    </cacheField>
    <cacheField name="MES" numFmtId="0">
      <sharedItems count="9">
        <s v="8"/>
        <s v="9"/>
        <s v="1"/>
        <s v="2"/>
        <s v="3"/>
        <s v="4"/>
        <s v="5"/>
        <s v="6"/>
        <s v="7"/>
      </sharedItems>
    </cacheField>
    <cacheField name="AÑO" numFmtId="0">
      <sharedItems count="3">
        <s v="24"/>
        <s v="25"/>
        <s v="26"/>
      </sharedItems>
    </cacheField>
    <cacheField name="Fecha Inicio" numFmtId="0">
      <sharedItems/>
    </cacheField>
    <cacheField name="Hora Inicio" numFmtId="0">
      <sharedItems/>
    </cacheField>
    <cacheField name="Fecha Fin" numFmtId="0">
      <sharedItems containsBlank="1"/>
    </cacheField>
    <cacheField name="Hora Fin" numFmtId="0">
      <sharedItems containsBlank="1"/>
    </cacheField>
    <cacheField name="Duración" numFmtId="0">
      <sharedItems containsBlank="1"/>
    </cacheField>
    <cacheField name="Estad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m/>
    <s v="Central Telefónica (4151515 / 5135000)"/>
    <s v="Buen día según lo informado por llamada telefónica tu apoyo en revisar el ingreso de llamadas en las dos centrales 4151515 y 5135000 No entran llamadas al 415 ni al 513 es una falla masiva por lado de TDP.. no solo esta afectando a Pacifico si a varios clientes"/>
    <s v="13"/>
    <x v="0"/>
    <x v="0"/>
    <s v="8/13/24"/>
    <s v="6:23:29 a. m."/>
    <s v="8/13/24"/>
    <s v="7:59:16 a. m."/>
    <s v="1h 35m"/>
    <s v="Resuelto"/>
  </r>
  <r>
    <x v="0"/>
    <s v="INC0663656"/>
    <s v="Caja China"/>
    <s v="Buenas noches, Se reporta que no se puede realizar búsquedas a través de caja china, al ingresar credenciales y colocar datos de motor o placa para buscar figura el error. La falla es masiva, se genero ticket INC0663656"/>
    <s v="27"/>
    <x v="0"/>
    <x v="0"/>
    <s v="8/27/24"/>
    <s v="9:12:09 p. m."/>
    <m/>
    <m/>
    <m/>
    <s v="Sin resolución registrada"/>
  </r>
  <r>
    <x v="0"/>
    <s v="INC0675418"/>
    <s v="Siniestros Web"/>
    <s v="Buenos dias su apoyo no cuento con siniestros web el error es masivo tu apoyo por favor ticket: INC0675418"/>
    <s v="24"/>
    <x v="1"/>
    <x v="0"/>
    <s v="9/24/24"/>
    <s v="9:25:32 a. m."/>
    <s v="9/24/24"/>
    <s v="2:58:30 p. m."/>
    <s v="5h 32m"/>
    <s v="Resuelto"/>
  </r>
  <r>
    <x v="0"/>
    <s v="INC0680462"/>
    <s v="Siniestros Web"/>
    <s v="Por favor tu amable apoyo, el error de Siniestros Web es masivo, ya son varios usuarios que reportan la falla, y cuando trato de generar el siniestro tambien aparece el error mostrado por Tavata y Marjori. Se genera ticket masivo: INC0680462 Alvarito buen dia, por favor tu apoyo con la falla reportada de Siniestros Web, persiste el error y no permite siniestrar. Estamos generando los casos como RO en Claim como contingencia"/>
    <s v="5"/>
    <x v="2"/>
    <x v="0"/>
    <s v="10/5/24"/>
    <s v="3:28:39 p. m."/>
    <m/>
    <m/>
    <m/>
    <s v="Sin resolución registrada"/>
  </r>
  <r>
    <x v="0"/>
    <m/>
    <s v="Aplicativo (no especificado)"/>
    <s v="Buenos días estimados es una falla masiva del aplicativo"/>
    <s v="11"/>
    <x v="2"/>
    <x v="0"/>
    <s v="10/11/24"/>
    <s v="9:27:48 a. m."/>
    <m/>
    <m/>
    <m/>
    <s v="Sin resolución registrada"/>
  </r>
  <r>
    <x v="0"/>
    <s v="INC0683683"/>
    <s v="AcselX 12C"/>
    <s v="Chicos tenemos la falla de AcselX 12C de manera masiva: INC0683683"/>
    <s v="14"/>
    <x v="2"/>
    <x v="0"/>
    <s v="10/14/24"/>
    <s v="11:49:13 a. m."/>
    <s v="10/14/24"/>
    <s v="6:53:23 p. m."/>
    <s v="7h 4m"/>
    <s v="Resuelto"/>
  </r>
  <r>
    <x v="0"/>
    <s v="INC0691810"/>
    <s v="Citrix (acceso a aplicativos)"/>
    <s v="Buenas noches, por favor tu apoyo, ya que no podemos acceder a los aplicativos mediante citrix es algo masivo, se genera ticket INC0691810"/>
    <s v="3"/>
    <x v="2"/>
    <x v="0"/>
    <s v="11/3/24"/>
    <s v="11:02:40 p. m."/>
    <m/>
    <m/>
    <m/>
    <s v="Sin resolución registrada"/>
  </r>
  <r>
    <x v="0"/>
    <s v="INC0697392"/>
    <s v="Guideware"/>
    <s v="Se ha declaro un masivo con el guideware, ticket principal declarado INC0697392"/>
    <s v="18"/>
    <x v="2"/>
    <x v="0"/>
    <s v="11/18/24"/>
    <s v="9:14:47 a. m."/>
    <s v="11/18/24"/>
    <s v="9:51:47 a. m."/>
    <s v="0h 37m"/>
    <s v="Resuelto"/>
  </r>
  <r>
    <x v="0"/>
    <m/>
    <s v="Central Telefónica (Telefónica/TDP)"/>
    <s v="Se confirma caida masiva de Telefonica... en breve se dara mas detalle"/>
    <s v="26"/>
    <x v="2"/>
    <x v="0"/>
    <s v="11/26/24"/>
    <s v="9:38:22 a. m."/>
    <s v="11/26/24"/>
    <s v="9:38:26 a. m."/>
    <s v="0h 0m"/>
    <s v="Resuelto"/>
  </r>
  <r>
    <x v="0"/>
    <s v="INC0700588"/>
    <s v="Citrix (desconexión)"/>
    <s v="Se genera ticket por falla masiva de desconexion de Citrix INC0700588. tu apoyo para elevarlo. Buen dia se esta cerrando el citrix constantemente La intermitencia del citrix no permite culminar siniestro al forzar el cierre del aplicativo en plena llamada"/>
    <s v="26"/>
    <x v="2"/>
    <x v="0"/>
    <s v="11/26/24"/>
    <s v="9:42:47 a. m."/>
    <s v="11/26/24"/>
    <s v="10:14:32 a. m."/>
    <s v="0h 31m"/>
    <s v="Resuelto"/>
  </r>
  <r>
    <x v="0"/>
    <m/>
    <s v="Citrix"/>
    <s v="Buen día, tenemos incidente masivo con citrix, está en revisión"/>
    <s v="28"/>
    <x v="2"/>
    <x v="0"/>
    <s v="11/28/24"/>
    <s v="5:00:08 p. m."/>
    <s v="11/28/24"/>
    <s v="5:30:47 p. m."/>
    <s v="0h 30m"/>
    <s v="Resuelto"/>
  </r>
  <r>
    <x v="0"/>
    <s v="INC0704607"/>
    <s v="Siniestros Web"/>
    <s v="Buenas noches, se reporta que no se pueden adjuntar imágenes a los siniestros en SW figura error. Se genero el ticket INC0704607, falla masiva"/>
    <s v="5"/>
    <x v="2"/>
    <x v="0"/>
    <s v="12/5/24"/>
    <s v="9:09:51 p. m."/>
    <m/>
    <m/>
    <m/>
    <s v="Sin resolución registrada"/>
  </r>
  <r>
    <x v="0"/>
    <m/>
    <s v="Citrix"/>
    <s v="Buen día equipo, se tiene un incidente masivo con citrix, se ha enviado un comunicado informando del caso e indicando que apliquen como contingencia el uso de Citrix Gateway, gracias"/>
    <s v="17"/>
    <x v="2"/>
    <x v="0"/>
    <s v="12/17/24"/>
    <s v="9:52:24 a. m."/>
    <m/>
    <m/>
    <m/>
    <s v="Sin resolución registrada"/>
  </r>
  <r>
    <x v="0"/>
    <s v="INC0709885"/>
    <s v="Claim Center / Siniestros Web / SIA / CRM (falla múltiple)"/>
    <s v="Buenas noches, se reporta que no carga la pagina de claim center, se procede a generar el ticket: INC0709885 por falla masiva. Tampoco hay SW SIA - abre aplicación se ingresa usuarios y no carga vueleve a la página principal, se reinicio Citrix pero persiste el inconveniente tampoco tengo CRM"/>
    <s v="20"/>
    <x v="2"/>
    <x v="0"/>
    <s v="12/20/24"/>
    <s v="11:12:56 p. m."/>
    <s v="12/21/24"/>
    <s v="5:42:14 a. m."/>
    <s v="6h 29m"/>
    <s v="Resuelto"/>
  </r>
  <r>
    <x v="0"/>
    <s v="INC0714023"/>
    <s v="AcselX 12C"/>
    <s v="Tambien se reporta que no carga la pagina del acselx 12c mediante citrix, se ha hecho los descartes pero se queda cargando varios minutos pero no logra ingresar para validar las polizas. La falla es masiva, se genero ticket INC0714023"/>
    <s v="4"/>
    <x v="2"/>
    <x v="1"/>
    <s v="1/4/25"/>
    <s v="10:34:32 a. m."/>
    <m/>
    <m/>
    <m/>
    <s v="Sin resolución registrada"/>
  </r>
  <r>
    <x v="0"/>
    <s v="INC0720327"/>
    <s v="Caja China"/>
    <s v="Buenas noches, se presenta problemas con Caja china no se cuenta con acceso. Se genera el ticket: INC0720327 ya que, la falla es masiva. tu amable apoyo en elevar el ticket por favor. Por otro lado se informa que la asesora de turno Yuly Morales de CC si cuenta con acceso a caja china desde el enlace proporcionado como contingencia (https://www30.pacificoseguros.com/callcenter). La asesora CEA Kimberlyn Maldonado esta ingresando a caja china para validación de polizas con el usuario de Yuly de manera temporal"/>
    <s v="24"/>
    <x v="2"/>
    <x v="1"/>
    <s v="1/24/25"/>
    <s v="11:12:31 p. m."/>
    <s v="1/25/25"/>
    <s v="7:15:22 p. m."/>
    <s v="20h 2m"/>
    <s v="Resuelto"/>
  </r>
  <r>
    <x v="0"/>
    <s v="INC0728285"/>
    <s v="Claim Center"/>
    <s v="Se informa que no contamos con acceso a claim center, la falla es masiva. Se genera ticket: INC0728285. Se valido por las 3 plataformas de citrix (workspace, web y gateway). Asimismo, la falla de claim esta perjudicando la integración con sigsa y nuevamente no carga las polizas"/>
    <s v="15"/>
    <x v="3"/>
    <x v="1"/>
    <s v="2/15/25"/>
    <s v="10:48:55 a. m."/>
    <m/>
    <m/>
    <m/>
    <s v="Sin resolución registrada"/>
  </r>
  <r>
    <x v="0"/>
    <s v="INC0737568"/>
    <s v="AcselX 12C"/>
    <s v="Buenas tardes, se informa que se presenta falla masiva de Acselx12c no carga la pagina. Se ha generado el ticket: INC0737568. su gentil apoyo por favor"/>
    <s v="10"/>
    <x v="4"/>
    <x v="1"/>
    <s v="3/10/25"/>
    <s v="1:53:38 p. m."/>
    <s v="3/10/25"/>
    <s v="3:44:34 p. m."/>
    <s v="1h 50m"/>
    <s v="Resuelto"/>
  </r>
  <r>
    <x v="0"/>
    <s v="INC0742605"/>
    <s v="Claim Center / Policy Center"/>
    <s v="Buenas noches, se informa que no contamos con acceso a Claim Center ni Policy Center, falla masiva. Se genero ticket: INC0742605"/>
    <s v="21"/>
    <x v="4"/>
    <x v="1"/>
    <s v="3/21/25"/>
    <s v="10:21:45 p. m."/>
    <m/>
    <m/>
    <m/>
    <s v="Sin resolución registrada"/>
  </r>
  <r>
    <x v="0"/>
    <s v="INC0746210"/>
    <s v="Avaya Browser"/>
    <s v="Buen día y , se genera el ticket INC0746210 por la desconexión del Avaya Browser de manera masiva a las 08:06 y aunque se restableció a las 08:16, esto a generado que no pueda sacar reportes desde el Avaya Contac, por favor su apoyo se queda cargando (se restableció a las 08:16, según lo reportado en el mismo mensaje)"/>
    <s v="1"/>
    <x v="5"/>
    <x v="1"/>
    <s v="4/1/25"/>
    <s v="8:06 a. m."/>
    <s v="4/1/25"/>
    <s v="8:16 a. m."/>
    <s v="0h 10m"/>
    <s v="Resuelto"/>
  </r>
  <r>
    <x v="0"/>
    <s v="INC0747905"/>
    <s v="Policy"/>
    <s v="Buenas noches. Se reporta que no se cuenta con policy, figura error: Service Unavailable. La falla es masiva , se genero el ticket INC0747905"/>
    <s v="4"/>
    <x v="5"/>
    <x v="1"/>
    <s v="4/4/25"/>
    <s v="10:25:04 p. m."/>
    <m/>
    <m/>
    <m/>
    <s v="Sin resolución registrada"/>
  </r>
  <r>
    <x v="0"/>
    <s v="INC0750663"/>
    <s v="Caja China"/>
    <s v="Buenos dias. Se reporta que se presenta la falla masiva con la caja china, se puede acceder al aplicativo pero no arroja búsquedas con la póliza ni datos de placa motor ni chasis. Se genero ticket: INC0750663"/>
    <s v="13"/>
    <x v="5"/>
    <x v="1"/>
    <s v="4/13/25"/>
    <s v="5:48:24 a. m."/>
    <m/>
    <m/>
    <m/>
    <s v="Sin resolución registrada"/>
  </r>
  <r>
    <x v="0"/>
    <s v="INC0750707"/>
    <s v="AcselX 12C"/>
    <s v="Se presenta la falla masiva Acselx , cuando se ingresa con el usuario figura error: *Error, el servicio de validación de usuario no funciono.* Se genero ticket: INC0750707"/>
    <s v="13"/>
    <x v="5"/>
    <x v="1"/>
    <s v="4/13/25"/>
    <s v="1:38:06 p. m."/>
    <m/>
    <m/>
    <m/>
    <s v="Sin resolución registrada"/>
  </r>
  <r>
    <x v="0"/>
    <s v="INC0750740"/>
    <s v="CRM"/>
    <s v="Se presenta falla masiva al ingresar a CRM. sale error. *Se genero ticket INC0750740* tu gentil apoyo por favor"/>
    <s v="13"/>
    <x v="5"/>
    <x v="1"/>
    <s v="4/13/25"/>
    <s v="9:29:39 p. m."/>
    <m/>
    <m/>
    <m/>
    <s v="Sin resolución registrada"/>
  </r>
  <r>
    <x v="0"/>
    <s v="INC0752305"/>
    <s v="SIA"/>
    <s v="Buenas noches, se reporta que la pagina del SIA no carga, la falla presentada es masiva. Se genera ticket: INC0752305"/>
    <s v="16"/>
    <x v="5"/>
    <x v="1"/>
    <s v="4/16/25"/>
    <s v="8:06:06 p. m."/>
    <m/>
    <m/>
    <m/>
    <s v="Sin resolución registrada"/>
  </r>
  <r>
    <x v="0"/>
    <s v="INC0752861"/>
    <s v="Avaya Contact / GRTD"/>
    <s v="Buenos días, se reporta que se ha perdido conexión con el avaya contact y que se ha desconectado a los asesores y nos les permite volver a a ingresar. pf tu gentil apoyo la falla es masiva. se genero ticket: INC0752861"/>
    <s v="20"/>
    <x v="5"/>
    <x v="1"/>
    <s v="4/20/25"/>
    <s v="7:12:30 a. m."/>
    <s v="4/20/25"/>
    <s v="10:01:18 a. m."/>
    <s v="2h 48m"/>
    <s v="Resuelto"/>
  </r>
  <r>
    <x v="0"/>
    <s v="INC0753798"/>
    <s v="AcselX 12C"/>
    <s v="Se genero el ticket: INC0753798, por favor su apoyo ya que la falla es masiva"/>
    <s v="22"/>
    <x v="5"/>
    <x v="1"/>
    <s v="4/22/25"/>
    <s v="4:21:43 p. m."/>
    <s v="4/23/25"/>
    <s v="1:03:58 p. m."/>
    <s v="20h 42m"/>
    <s v="Resuelto"/>
  </r>
  <r>
    <x v="0"/>
    <s v="INC0754202"/>
    <s v="Siniestros Web"/>
    <s v="Por favor tu amable apoyo en revisar la falla masiva en la creación de siniestro en SW. Al momento de acceder permite colocar usuario, contraseña, podemos acceder a la ficha de registro del siniestro, pero cuando le damos guardar aparece error lo cual impide poder generar el numero de siniestro. Asimismo, tampoco permite cambiar el sub estado a los siniestros creados con anterioridad a la falla. INC0754202"/>
    <s v="23"/>
    <x v="5"/>
    <x v="1"/>
    <s v="4/23/25"/>
    <s v="1:07:52 p. m."/>
    <s v="4/24/25"/>
    <s v="9:33:28 a. m."/>
    <s v="20h 25m"/>
    <s v="Resuelto"/>
  </r>
  <r>
    <x v="0"/>
    <m/>
    <s v="Avaya"/>
    <s v="Buenas noches, por favor su apoyo ya que no podemos establecer conexión con avaya, es una falla masiva"/>
    <s v="20"/>
    <x v="6"/>
    <x v="1"/>
    <s v="5/20/25"/>
    <s v="9:34:24 p. m."/>
    <m/>
    <m/>
    <m/>
    <s v="Sin resolución registrada"/>
  </r>
  <r>
    <x v="0"/>
    <m/>
    <s v="Sigsa"/>
    <s v="Comprendo, por favor tu apoyo con la alerta indicada en elevar el ticket por la falla masiva de Sigsa que no esta buscando polizas"/>
    <s v="6"/>
    <x v="7"/>
    <x v="1"/>
    <s v="6/6/25"/>
    <s v="8:52:31 a. m."/>
    <m/>
    <m/>
    <m/>
    <s v="Sin resolución registrada"/>
  </r>
  <r>
    <x v="0"/>
    <s v="INC0790677"/>
    <s v="Citrix (intermitencia/desconexión)"/>
    <s v="Buenas tardes, se reporta la intermitencia en Citrix de manera masiva, el equipo de CEA presenta constante desconexion y demora en la apertura de aplicativos, en otros casos no abren. Se genera ticket INC0790677"/>
    <s v="14"/>
    <x v="8"/>
    <x v="1"/>
    <s v="7/14/25"/>
    <s v="3:10:11 p. m."/>
    <s v="7/15/25"/>
    <s v="3:06:42 p. m."/>
    <s v="23h 56m"/>
    <s v="Resuelto"/>
  </r>
  <r>
    <x v="0"/>
    <m/>
    <s v="AcselX 12C"/>
    <s v="La falla de acceso al Acsel X 12C es masivo te generó el ticket para tu apoyo en elevarlo con TI por favor"/>
    <s v="16"/>
    <x v="8"/>
    <x v="1"/>
    <s v="7/16/25"/>
    <s v="3:18:58 p. m."/>
    <s v="7/16/25"/>
    <s v="3:28:19 p. m."/>
    <s v="0h 9m"/>
    <s v="Resuelto"/>
  </r>
  <r>
    <x v="0"/>
    <m/>
    <s v="Citrix"/>
    <s v="Srta se esta revisando internamente y es un inconveniente MASIVO al acceder a las apps dentro de Citrix"/>
    <s v="14"/>
    <x v="0"/>
    <x v="1"/>
    <s v="8/14/25"/>
    <s v="12:37:31 p. m."/>
    <s v="8/14/25"/>
    <s v="1:54:30 p. m."/>
    <s v="1h 16m"/>
    <s v="Resuelto"/>
  </r>
  <r>
    <x v="0"/>
    <s v="INC0807021"/>
    <s v="AcselX 12C"/>
    <s v="Buenas tardes, se reporta que se presenta falla en Acselx 12c la pagina no carga y se queda en negro no permite el acceso. La falla es masiva, se genera ticket INC0807021"/>
    <s v="18"/>
    <x v="0"/>
    <x v="1"/>
    <s v="8/18/25"/>
    <s v="5:20:06 p. m."/>
    <s v="8/18/25"/>
    <s v="5:57:58 p. m."/>
    <s v="0h 37m"/>
    <s v="Resuelto"/>
  </r>
  <r>
    <x v="0"/>
    <s v="INC0809744"/>
    <s v="AcselX 12C"/>
    <s v="Buenas noches, se infroma que no se puede acceder al Acselx 12c, no logra cargar para ingresar usuario de correo o se queda en negro al ingresar. La falla es masiva y no se puede visualizar las poliza y coberturas. Se genero ticket: INC0809744"/>
    <s v="22"/>
    <x v="0"/>
    <x v="1"/>
    <s v="8/22/25"/>
    <s v="7:56:36 p. m."/>
    <m/>
    <m/>
    <m/>
    <s v="Sin resolución registrada"/>
  </r>
  <r>
    <x v="0"/>
    <s v="INC0810176"/>
    <s v="Siniestros Web"/>
    <s v="Buen día por favor tu amable apoyo para elevar el ticket:INC0810176 generado por la falla masiva de siniestros web. Al momento de intentar cambiar el sub estado a los siniestros arroja error, ese mismo error arroja cuando se intenta crear siniestros nuevos"/>
    <s v="25"/>
    <x v="0"/>
    <x v="1"/>
    <s v="8/25/25"/>
    <s v="11:18:32 a. m."/>
    <s v="8/25/25"/>
    <s v="12:55:55 p. m."/>
    <s v="1h 37m"/>
    <s v="Resuelto"/>
  </r>
  <r>
    <x v="0"/>
    <s v="INC0818676"/>
    <s v="Siniestros Web"/>
    <s v="Se genero ticket INC0818676 por falla masiva en Siniestros web"/>
    <s v="16"/>
    <x v="1"/>
    <x v="1"/>
    <s v="9/16/25"/>
    <s v="9:34:40 a. m."/>
    <m/>
    <m/>
    <m/>
    <s v="Sin resolución registrada"/>
  </r>
  <r>
    <x v="0"/>
    <s v="INC0826508"/>
    <s v="Caja China"/>
    <s v="Buenos dias. Se reporta que hay falla en cada china, figura error luego de agregar usuario y contraseña. Falla masiva del CEA, su apoyo con la revision bajo el ticket: *INC0826508*"/>
    <s v="1"/>
    <x v="2"/>
    <x v="1"/>
    <s v="10/1/25"/>
    <s v="9:57:16 a. m."/>
    <m/>
    <m/>
    <m/>
    <s v="Sin resolución registrada"/>
  </r>
  <r>
    <x v="0"/>
    <s v="INC0830712"/>
    <s v="AcselX 12C"/>
    <s v="*Buenas noches, se reporta que la falla con Acselx es masivo, se genero ticket: INC0830712.*"/>
    <s v="10"/>
    <x v="2"/>
    <x v="1"/>
    <s v="10/10/25"/>
    <s v="7:52:30 p. m."/>
    <m/>
    <m/>
    <m/>
    <s v="Sin resolución registrada"/>
  </r>
  <r>
    <x v="0"/>
    <s v="INC0832867"/>
    <s v="AcselX 12C"/>
    <s v="Por favor tu apoyo en elevar el ticket., INC0832867, no hay acceso al app AcselX12C, el incidente es masivo"/>
    <s v="15"/>
    <x v="2"/>
    <x v="1"/>
    <s v="10/15/25"/>
    <s v="1:12:20 p. m."/>
    <m/>
    <m/>
    <m/>
    <s v="Sin resolución registrada"/>
  </r>
  <r>
    <x v="0"/>
    <m/>
    <s v="Citrix"/>
    <s v="Srta en este momento se esta teniendo varios inconvenientes masivos en varios servicios de Pacifico. Uno de ellos es citrix por lo cual no carga citrix a la asesora Angela, se va a informar en cuanto se solucione porfavor"/>
    <s v="29"/>
    <x v="2"/>
    <x v="1"/>
    <s v="10/29/25"/>
    <s v="12:23:30 p. m."/>
    <m/>
    <m/>
    <m/>
    <s v="Sin resolución registrada"/>
  </r>
  <r>
    <x v="0"/>
    <s v="INC0841742"/>
    <s v="Claim Center"/>
    <s v="Buenos dias, se informa que la falla de claim center persiste, aún no permite siniestrar y la falla es masiva, se genera ticket *INC0841742* para su atencion"/>
    <s v="1"/>
    <x v="2"/>
    <x v="1"/>
    <s v="11/1/25"/>
    <s v="7:22:17 a. m."/>
    <m/>
    <m/>
    <m/>
    <s v="Sin resolución registrada"/>
  </r>
  <r>
    <x v="0"/>
    <m/>
    <s v="WhatsApp Web"/>
    <s v="Buen dia, para informar que se tiene falla masiva con whatsapp web"/>
    <s v="4"/>
    <x v="2"/>
    <x v="1"/>
    <s v="11/4/25"/>
    <s v="9:47:49 a. m."/>
    <s v="11/4/25"/>
    <s v="10:22:23 a. m."/>
    <s v="0h 34m"/>
    <s v="Resuelto"/>
  </r>
  <r>
    <x v="0"/>
    <s v="INC0847233"/>
    <s v="AcselX 12C"/>
    <s v="Buenos días, se presenta falla masiva con el acselx 12c se queda cargando y no se puede acceder a la búsqueda de información. Se genero ticket: INC0847233"/>
    <s v="14"/>
    <x v="2"/>
    <x v="1"/>
    <s v="11/14/25"/>
    <s v="7:41:56 a. m."/>
    <s v="11/14/25"/>
    <s v="5:38:19 p. m."/>
    <s v="9h 56m"/>
    <s v="Resuelto"/>
  </r>
  <r>
    <x v="0"/>
    <s v="INC0847940"/>
    <s v="Guideware"/>
    <s v="Buenos días, se informa que se presenta falla masiva con los aplicativos de Guideware en las búsquedas y creación de siniestros, se genero el ticket *INC0847940.*"/>
    <s v="15"/>
    <x v="2"/>
    <x v="1"/>
    <s v="11/15/25"/>
    <s v="7:25:37 a. m."/>
    <s v="11/15/25"/>
    <s v="8:58:20 a. m."/>
    <s v="1h 32m"/>
    <s v="Resuelto"/>
  </r>
  <r>
    <x v="0"/>
    <s v="INC0859093"/>
    <s v="Aplicativos Citrix"/>
    <s v="Por favor tu amable apoyo en elevar el ticket INC0859093, tenemos una falla masiva, al momento de intentar acceder a los aplicativos de citrix arroja error"/>
    <s v="10"/>
    <x v="2"/>
    <x v="1"/>
    <s v="12/10/25"/>
    <s v="3:14:09 p. m."/>
    <s v="12/10/25"/>
    <s v="11:33:46 p. m."/>
    <s v="8h 19m"/>
    <s v="Resuelto"/>
  </r>
  <r>
    <x v="0"/>
    <s v="INC0869699"/>
    <s v="Central Telefónica (corte de llamadas)"/>
    <s v="Buenas tardes, segun lo conversado se regulariza el ticket por el corte de llamadas de manera masiva que se sufrió en dos ocasiones, afectando al CEA y CC. INC0869699"/>
    <s v="5"/>
    <x v="2"/>
    <x v="2"/>
    <s v="1/5/26"/>
    <s v="6:41:57 p. m."/>
    <s v="1/7/26"/>
    <s v="5:05:51 p. m."/>
    <s v="1d 22h 23m"/>
    <s v="Resuelto"/>
  </r>
  <r>
    <x v="0"/>
    <s v="INC0879714"/>
    <s v="Caja China"/>
    <s v="BUENAS TARDES, SE PRESENTA FALLA EN LA BUSQUEDA DE CAJA CHINA NO CARGA Y SALE ERROR EN ROJO. SU GENTIL APOYO ES MASIVO, SE GENERO TICKET: INC0879714"/>
    <s v="20"/>
    <x v="2"/>
    <x v="2"/>
    <s v="1/20/26"/>
    <s v="2:46:35 p. m."/>
    <m/>
    <m/>
    <m/>
    <s v="Sin resolución registrada"/>
  </r>
  <r>
    <x v="0"/>
    <s v="INC0893882"/>
    <s v="Acsel X/12"/>
    <s v="Tu apoyo por favor en elevar el ticket: INC0893882, tenemos falla de acceso al app Acsel X/12, al momento de intentar acceder nos arroja pantalla negra. La falla es masiva"/>
    <s v="24"/>
    <x v="3"/>
    <x v="2"/>
    <s v="2/24/26"/>
    <s v="11:19:21 a. m."/>
    <s v="2/24/26"/>
    <s v="11:40:22 a. m."/>
    <s v="0h 21m"/>
    <s v="Resuelto"/>
  </r>
  <r>
    <x v="0"/>
    <s v="INC0894100"/>
    <s v="Caja China"/>
    <s v="Buenas tardes, se reporta que al ingresar usuario y contraseña en caja china figura error y no permite acceder para validar las polizas de Pacifico, la falla es masiva. Se genero ticket INC0894100"/>
    <s v="24"/>
    <x v="3"/>
    <x v="2"/>
    <s v="2/24/26"/>
    <s v="5:38:28 p. m."/>
    <m/>
    <m/>
    <m/>
    <s v="Sin resolución registrada"/>
  </r>
  <r>
    <x v="0"/>
    <s v="INC0896017"/>
    <s v="Policy Center / Caja China"/>
    <s v="Se informa y reporta que POLICIY CENTER no esta cargando, figura falla: *&quot;No se pudo iniciar el servidor. Póngase en contacto con su administrador del sistema.&quot;* Falla masiva su apoyo por favor, ticket: *INC0896017* tambien esta fallando caja china"/>
    <s v="2"/>
    <x v="4"/>
    <x v="2"/>
    <s v="3/2/26"/>
    <s v="9:13:55 a. m."/>
    <m/>
    <m/>
    <m/>
    <s v="Sin resolución registrada"/>
  </r>
  <r>
    <x v="0"/>
    <m/>
    <s v="WiFi (CEA / Asiste)"/>
    <s v="Sr para informar que se está teniendo una falla masiva en cuanto al servicio de wifi por lo cual se esta presentando inconvenientes de lentitud e intermitencia"/>
    <s v="4"/>
    <x v="4"/>
    <x v="2"/>
    <s v="3/4/26"/>
    <s v="10:32:38 a. m."/>
    <m/>
    <m/>
    <m/>
    <s v="Sin resolución registrada"/>
  </r>
  <r>
    <x v="0"/>
    <s v="INC0909763"/>
    <s v="Siniestros Web"/>
    <s v="Buenos días, se reporta que se presenta falla con siniestros web, falla masiva no permite ingresar a validar los siniestros o generar siniestros nuevos. se genera el ticket: *INC0909763*"/>
    <s v="30"/>
    <x v="4"/>
    <x v="2"/>
    <s v="3/30/26"/>
    <s v="9:26:08 a. m."/>
    <s v="3/31/26"/>
    <s v="1:30:29 p. m."/>
    <s v="1d 4h 4m"/>
    <s v="Resuelto"/>
  </r>
  <r>
    <x v="0"/>
    <s v="INC0911966"/>
    <s v="AcselX12C"/>
    <s v="Buen día por favor tu amable apoyo elevando el tciket: INC0911966 ya que, no contamos con acceso al AcselX12C. Error masivo"/>
    <s v="6"/>
    <x v="5"/>
    <x v="2"/>
    <s v="4/6/26"/>
    <s v="8:24:00 a. m."/>
    <s v="4/6/26"/>
    <s v="8:53:28 a. m."/>
    <s v="0h 29m"/>
    <s v="Resuelto"/>
  </r>
  <r>
    <x v="0"/>
    <s v="INC0917730"/>
    <s v="Acselx 12C / Caja China"/>
    <s v="Buenas tardes, se reporta falla masiva de Acselx 12c no se puede acceder. Se genera ticket: INC0917730 Se informa que se presenta falla con Caja china , no carga al agregar el usuario y contraseña. Luego se queda en blanco y no permite avanzar. Se crea ticket INC0917745"/>
    <s v="19"/>
    <x v="5"/>
    <x v="2"/>
    <s v="4/19/26"/>
    <s v="1:43:35 p. m."/>
    <s v="4/19/26"/>
    <s v="3:33:53 p. m."/>
    <s v="1h 50m"/>
    <s v="Resuelto"/>
  </r>
  <r>
    <x v="0"/>
    <s v="INC0925953"/>
    <s v="Caja China / Acselx 12C"/>
    <s v="Buenas tardes, se presenta falla caja china que no reconoce polizas de la plataforma de acselx 12c, figura error. Falla masiva , su apoyo con la revision, se genero ticket: INC0925953"/>
    <s v="9"/>
    <x v="6"/>
    <x v="2"/>
    <s v="5/9/26"/>
    <s v="2:36:09 p. m."/>
    <m/>
    <m/>
    <m/>
    <s v="Sin resolución registrada"/>
  </r>
  <r>
    <x v="0"/>
    <s v="INC0927299"/>
    <s v="Correo Corporativo"/>
    <s v="Buenos días, se reporta que no se puede acceder al correo corporativo, demora en cargar y finalmente no se logra acceder. Su apoyo con la revisión, la falla es masiva. Se genero ticket: INC0927299"/>
    <s v="13"/>
    <x v="6"/>
    <x v="2"/>
    <s v="5/13/26"/>
    <s v="9:38:26 a. m."/>
    <s v="5/14/26"/>
    <s v="8:34:56 a. m."/>
    <s v="22h 56m"/>
    <s v="Resuelto"/>
  </r>
  <r>
    <x v="0"/>
    <s v="INC0930979"/>
    <s v="AcselX 12C"/>
    <s v="Buenas tardes, se reporta falla masiva con Acselx no carga y se queda la pantalla en negro. Se genera ticket INC0930979"/>
    <s v="21"/>
    <x v="6"/>
    <x v="2"/>
    <s v="5/21/26"/>
    <s v="1:38:01 p. m."/>
    <m/>
    <m/>
    <m/>
    <s v="Sin resolución registrada"/>
  </r>
  <r>
    <x v="0"/>
    <m/>
    <s v="Acsel X"/>
    <s v="Deyvis la falla es masiva, no se tiene acceso al Acsel X"/>
    <s v="11"/>
    <x v="7"/>
    <x v="2"/>
    <s v="6/11/26"/>
    <s v="11:24:06 a. m."/>
    <m/>
    <m/>
    <m/>
    <s v="Sin resolución registrada"/>
  </r>
  <r>
    <x v="0"/>
    <m/>
    <s v="Acsel X (remoto)"/>
    <s v="La incidencia es masiva, el proveedor esta trabajando en ello"/>
    <s v="17"/>
    <x v="7"/>
    <x v="2"/>
    <s v="6/17/26"/>
    <s v="1:30:48 p. m."/>
    <s v="6/17/26"/>
    <s v="3:18:05 p. m."/>
    <s v="1h 47m"/>
    <s v="Resuelto"/>
  </r>
  <r>
    <x v="0"/>
    <m/>
    <s v="Acsel X (se cuelga)"/>
    <s v="Hola es un problema masivo que esta pasando a varios usuarios se le esta colgando el ascel x Buenas tardes , es un problema masivo hay varios usuarios presentando el mismo problema"/>
    <s v="18"/>
    <x v="7"/>
    <x v="2"/>
    <s v="6/18/26"/>
    <s v="1:50:10 p. m."/>
    <m/>
    <m/>
    <m/>
    <s v="Sin resolución registrada"/>
  </r>
  <r>
    <x v="0"/>
    <s v="INC0943970"/>
    <s v="AcselX / Claim Center / Policy Center"/>
    <s v="Buenos días, se reporta que los aplicativos de acselx, claim y policy no cargan. La falla es masiva, se genero ticket: INC0943970"/>
    <s v="13"/>
    <x v="8"/>
    <x v="2"/>
    <s v="7/13/26"/>
    <s v="10:49:03 a. m."/>
    <m/>
    <m/>
    <m/>
    <s v="Sin resolución registrada"/>
  </r>
  <r>
    <x v="0"/>
    <s v="INC0943972"/>
    <s v="Sigsa"/>
    <s v="Se genero otro ticket: *sigsa no esta reconociendo las pólizas al momento de la búsqueda* con datos de placa, motor y chasis. Falla masiva, se genero ticket: *INC0943972*"/>
    <s v="13"/>
    <x v="8"/>
    <x v="2"/>
    <s v="7/13/26"/>
    <s v="10:52:19 a. m."/>
    <m/>
    <m/>
    <m/>
    <s v="Sin resolución registrada"/>
  </r>
  <r>
    <x v="0"/>
    <m/>
    <s v="Citrix"/>
    <s v="Estamos presentando desconexion masiva de Citrix y los aplicativos estan demorando en cargar para ingresar nuestras credencial, se genera el ticket"/>
    <s v="20"/>
    <x v="8"/>
    <x v="2"/>
    <s v="7/20/26"/>
    <s v="10:55:22 a. m."/>
    <s v="7/20/26"/>
    <s v="11:30:06 a. m."/>
    <s v="0h 34m"/>
    <s v="Resuelto"/>
  </r>
  <r>
    <x v="0"/>
    <s v="INC0946319"/>
    <s v="Citrix Workplace"/>
    <s v="Buenos días, se *reporta falla masiva* de intermitencia en citrix workplace, se presenta desconexión constante y no abren los aplicativos. Su apoyo urgente con la revisión, se genero ticket INC0946319"/>
    <s v="22"/>
    <x v="8"/>
    <x v="2"/>
    <s v="7/22/26"/>
    <s v="10:02:04 a. m."/>
    <s v="7/22/26"/>
    <s v="5:55:55 p. m."/>
    <s v="7h 53m"/>
    <s v="Resuelto"/>
  </r>
  <r>
    <x v="0"/>
    <s v="INC0947257"/>
    <s v="Central de Emergencias (llamadas salientes)"/>
    <s v="Buenos días, se informa que no se pueden realizar llamadas salientes, al marcar suena un pitido desde aprox 7:15 am, la falla es masiva de toda la central de emergencia. Se genera ticket: INC0947257. tu apoyo con el caso por favor"/>
    <s v="29"/>
    <x v="8"/>
    <x v="2"/>
    <s v="7/29/26"/>
    <s v="7:28:36 a. m."/>
    <s v="7/29/26"/>
    <s v="7:55:06 a. m."/>
    <s v="0h 26m"/>
    <s v="Resuelto"/>
  </r>
  <r>
    <x v="0"/>
    <s v="INC0947852"/>
    <s v="Acselx"/>
    <s v="Buenos días. Se reporta que se presenta falla con Acselx no carga la página y no se puede acceder para revisar las coberturas y detalles de la póliza. La falla es masiva, se genera ticket: INC0947852"/>
    <s v="2"/>
    <x v="0"/>
    <x v="2"/>
    <s v="8/2/26"/>
    <s v="8:07:48 a. m."/>
    <m/>
    <m/>
    <m/>
    <s v="Sin resolución registrada"/>
  </r>
  <r>
    <x v="0"/>
    <s v="INC0949984"/>
    <s v="Sigsa"/>
    <s v="Buenas noches, se genera ticket INC0949984 sigsa no esta reconociendo las pólizas al momento de la búsqueda tanto con los datos de placa, motor y chasis. La falla es masiva"/>
    <s v="12"/>
    <x v="0"/>
    <x v="2"/>
    <s v="8/12/26"/>
    <s v="10:33:02 p. m."/>
    <m/>
    <m/>
    <m/>
    <s v="Sin resolución registrada"/>
  </r>
  <r>
    <x v="0"/>
    <s v="INC0951538"/>
    <s v="Caja China"/>
    <s v="Buenas tardes, se reporta FALLA MASIVA DE CAJA CHINA. No carga al ingresar las credenciales y no permite realizar las búsquedas de póliza con los datos de la unidad o asegurado. Ticket: INC0951538 tu apoyo para elevar el ticket"/>
    <s v="19"/>
    <x v="0"/>
    <x v="2"/>
    <s v="8/19/26"/>
    <s v="6:26:07 p. m."/>
    <s v="8/20/26"/>
    <s v="5:07:58 p. m."/>
    <s v="22h 41m"/>
    <s v="Resuelto"/>
  </r>
  <r>
    <x v="0"/>
    <s v="INC0951556"/>
    <s v="Siniestros Web"/>
    <s v="Buenas noches. Se reporta que se presenta falla con siniestros web, no permite ingresar los datos para la creación del siniestro. Falla masiva. Ticket: *INC0951556*"/>
    <s v="19"/>
    <x v="0"/>
    <x v="2"/>
    <s v="8/19/26"/>
    <s v="8:25:44 p. m."/>
    <s v="8/20/26"/>
    <s v="5:07:58 p. m."/>
    <s v="20h 42m"/>
    <s v="Resuelto"/>
  </r>
  <r>
    <x v="0"/>
    <s v="INC0951788"/>
    <s v="Acsel X/12C"/>
    <s v="Se informa el ticket regularizado por la falla masiva de Acsel X/12C INC0951788"/>
    <s v="20"/>
    <x v="0"/>
    <x v="2"/>
    <s v="8/20/26"/>
    <s v="3:13:04 p. m."/>
    <m/>
    <m/>
    <m/>
    <s v="Sin resolución registrada"/>
  </r>
  <r>
    <x v="1"/>
    <m/>
    <s v="Troncal Telefónica (Konecta-Pacífico)"/>
    <s v="No ingresan llamadas por el 4151515 y el 5135000; se identificó como causa la caída de la troncal que une Konecta con Pacífico."/>
    <s v="19"/>
    <x v="8"/>
    <x v="0"/>
    <s v="7/19/24"/>
    <s v="11:04 a. m."/>
    <s v="7/19/24"/>
    <s v="11:12 a. m."/>
    <s v="0h 8m"/>
    <s v="Resuelto"/>
  </r>
  <r>
    <x v="1"/>
    <m/>
    <s v="Central Telefónica (4151515 / 5135000, TDP)"/>
    <s v="Caída masiva del operador telefónico TDP; no entran llamadas al 415 ni al 513."/>
    <s v="13"/>
    <x v="0"/>
    <x v="0"/>
    <s v="8/13/24"/>
    <s v="6:55 a. m."/>
    <s v="8/13/24"/>
    <s v="8:04 a. m."/>
    <s v="1h 9m"/>
    <s v="Resuelto"/>
  </r>
  <r>
    <x v="1"/>
    <m/>
    <s v="Genesys"/>
    <s v="No se pueden realizar llamadas salientes desde Genesys."/>
    <s v="7"/>
    <x v="2"/>
    <x v="0"/>
    <s v="10/7/24"/>
    <s v="12:57 p. m."/>
    <m/>
    <m/>
    <m/>
    <s v="Sin resolución registrada"/>
  </r>
  <r>
    <x v="1"/>
    <m/>
    <s v="Avaya"/>
    <s v="No se puede realizar llamadas salientes desde Avaya."/>
    <s v="7"/>
    <x v="2"/>
    <x v="0"/>
    <s v="10/7/24"/>
    <s v="1:05 p. m."/>
    <s v="10/7/24"/>
    <s v="1:16 p. m."/>
    <s v="0h 11m"/>
    <s v="Resuelto"/>
  </r>
  <r>
    <x v="1"/>
    <m/>
    <s v="Central de Emergencias y Asiste (opción 9 del 415)"/>
    <s v="Problemas con la opción 9 del 415; se activa comunicado de contingencia por inconvenientes técnicos en la Central de Emergencias y Asiste."/>
    <s v="18"/>
    <x v="2"/>
    <x v="0"/>
    <s v="10/18/24"/>
    <s v="6:38 p. m."/>
    <s v="10/18/24"/>
    <s v="7:58 p. m."/>
    <s v="1h 19m"/>
    <s v="Resuelto"/>
  </r>
  <r>
    <x v="1"/>
    <m/>
    <s v="Central Telefónica (Telefónica/TDP)"/>
    <s v="Avería masiva de Telefónica que afecta las centrales telefónicas."/>
    <s v="26"/>
    <x v="2"/>
    <x v="0"/>
    <s v="11/26/24"/>
    <s v="9:53 a. m."/>
    <s v="11/26/24"/>
    <s v="11:35 a. m."/>
    <s v="1h 41m"/>
    <s v="Resuelto"/>
  </r>
  <r>
    <x v="1"/>
    <m/>
    <s v="Central Telefónica / Emergencias (Konecta)"/>
    <s v="Caída de las opciones de emergencia por el lado de telefonía de Konecta."/>
    <s v="20"/>
    <x v="2"/>
    <x v="0"/>
    <s v="12/20/24"/>
    <s v="12:05 p. m."/>
    <s v="12/20/24"/>
    <s v="12:09 p. m."/>
    <s v="0h 4m"/>
    <s v="Resuelto"/>
  </r>
  <r>
    <x v="1"/>
    <m/>
    <s v="Central Telefónica (opciones 4.1 / 3.5)"/>
    <s v="Por la opción 4.1 timbra pero no ingresa la llamada al asesor; igual sucede por la opción 3.5."/>
    <s v="12"/>
    <x v="3"/>
    <x v="1"/>
    <s v="2/12/25"/>
    <s v="8:15 a. m."/>
    <s v="2/12/25"/>
    <s v="8:48 a. m."/>
    <s v="0h 32m"/>
    <s v="Resuelto"/>
  </r>
  <r>
    <x v="1"/>
    <m/>
    <s v="Central Telefónica (opción 4 del 4151515)"/>
    <s v="Aparente caída en el ingreso de llamadas a las centrales; por el 4151515 al marcar la opción 4 queda vacío o se corta la llamada."/>
    <s v="26"/>
    <x v="3"/>
    <x v="1"/>
    <s v="2/26/25"/>
    <s v="5:43 p. m."/>
    <s v="2/26/25"/>
    <s v="6:18 p. m."/>
    <s v="0h 35m"/>
    <s v="Resuelto"/>
  </r>
  <r>
    <x v="1"/>
    <m/>
    <s v="Central Telefónica (opciones 4.1 / 8.2)"/>
    <s v="Reportan que no ingresan llamadas por las opciones 4.1 y 8.2."/>
    <s v="16"/>
    <x v="5"/>
    <x v="1"/>
    <s v="4/16/25"/>
    <s v="8:29 a. m."/>
    <s v="4/16/25"/>
    <s v="8:36 a. m."/>
    <s v="0h 6m"/>
    <s v="Resuelto"/>
  </r>
  <r>
    <x v="1"/>
    <m/>
    <s v="SITEDS"/>
    <s v="Caída de SITEDS (EPS y PPS); se activa Plan de Contingencia y se detienen transferencias a Salud."/>
    <s v="21"/>
    <x v="6"/>
    <x v="2"/>
    <s v="5/21/26"/>
    <s v="5:15 p. m."/>
    <s v="5/21/26"/>
    <s v="5:38 p. m."/>
    <s v="0h 22m"/>
    <s v="Resuelto"/>
  </r>
  <r>
    <x v="1"/>
    <m/>
    <s v="SITEDS"/>
    <s v="Nueva caída de SITEDS; Salud queda encolado y se solicita no transferir hasta nuevo aviso."/>
    <s v="15"/>
    <x v="7"/>
    <x v="2"/>
    <s v="6/15/26"/>
    <s v="9:50 a. m."/>
    <m/>
    <m/>
    <m/>
    <s v="Sin resolución registrada"/>
  </r>
  <r>
    <x v="1"/>
    <m/>
    <s v="Genesys Pacífico (transferencias a Vida/Otros Seguros)"/>
    <s v="No permite transferir llamadas entre Vida/Otros Seguros y Salud, por rechazo detectado en Genesys Pacífico."/>
    <s v="17"/>
    <x v="7"/>
    <x v="2"/>
    <s v="6/17/26"/>
    <s v="9:28 a. m."/>
    <s v="6/17/26"/>
    <s v="10:37 a. m."/>
    <s v="1h 9m"/>
    <s v="Resuelto"/>
  </r>
  <r>
    <x v="1"/>
    <m/>
    <s v="Central Telefónica (5135000 / 4151515, enlace Chorrillos-Convexus)"/>
    <s v="No ingresan llamadas a través del 5135000 ni del 4151515; causa raíz en el SBC de Avaya / servidor de Chorrillos (Convexus)."/>
    <s v="20"/>
    <x v="7"/>
    <x v="2"/>
    <s v="6/20/26"/>
    <s v="4:47 p. m."/>
    <s v="6/20/26"/>
    <s v="8:21 p. m."/>
    <s v="3h 34m"/>
    <s v="Resuelto"/>
  </r>
  <r>
    <x v="2"/>
    <m/>
    <s v="Avaya (vía Konecta)"/>
    <s v="Falla masiva que afectó el Avaya del equipo, reportada por el SOC de Konecta; no ingresaban llamadas al 5135000."/>
    <s v="12"/>
    <x v="0"/>
    <x v="0"/>
    <s v="8/12/24"/>
    <s v="11:05 a. m."/>
    <s v="8/12/24"/>
    <s v="11:13 a. m."/>
    <s v="0h 7m"/>
    <s v="Resuelto"/>
  </r>
  <r>
    <x v="2"/>
    <m/>
    <s v="Central Telefónica (415 / 5135000, TDP)"/>
    <s v="No permite el timbrado al marcar los teléfonos de la central; no ingresan llamadas de los asegurados por el 415 ni el 5135000."/>
    <s v="13"/>
    <x v="0"/>
    <x v="0"/>
    <s v="8/13/24"/>
    <s v="6:34 a. m."/>
    <s v="8/13/24"/>
    <s v="8:06 a. m."/>
    <s v="1h 32m"/>
    <s v="Resuelto"/>
  </r>
  <r>
    <x v="2"/>
    <m/>
    <s v="Central Telefónica (opciones 4 / 3 / 8 del 415)"/>
    <s v="Por el 4151515 no ingresa la llamada a la opción 4; por el 5135000 solo timbra sin conectar (Platino y tradicional). Se deriva a Convexus."/>
    <s v="12"/>
    <x v="3"/>
    <x v="1"/>
    <s v="2/12/25"/>
    <s v="8:20 a. m."/>
    <s v="2/12/25"/>
    <s v="10:43 a. m."/>
    <s v="2h 22m"/>
    <s v="Resuelto"/>
  </r>
  <r>
    <x v="2"/>
    <m/>
    <s v="Central Telefónica (CIC)"/>
    <s v="No ingresan llamadas al CIC; se coordina con Crossnet la revisión."/>
    <s v="19"/>
    <x v="5"/>
    <x v="1"/>
    <s v="4/19/25"/>
    <s v="8:44 a. m."/>
    <s v="4/19/25"/>
    <s v="9:07 a. m."/>
    <s v="0h 23m"/>
    <s v="Resuelto"/>
  </r>
  <r>
    <x v="2"/>
    <m/>
    <s v="Internet / Llamadas (CIC Salud)"/>
    <s v="Se cortan las llamadas en línea; se identifica como causa la lentitud del internet, afectando comunicación y chat."/>
    <s v="3"/>
    <x v="7"/>
    <x v="1"/>
    <s v="6/3/25"/>
    <s v="5:34 p. m."/>
    <m/>
    <m/>
    <m/>
    <s v="Sin resolución registrada"/>
  </r>
  <r>
    <x v="2"/>
    <m/>
    <s v="Internet / Llamadas (toda la planta)"/>
    <s v="Corte de llamadas en toda la planta; comunicaciones entrecortadas por intermitencia del internet (afectación de servicios de Google en la nube usados por Genesys)."/>
    <s v="12"/>
    <x v="7"/>
    <x v="1"/>
    <s v="6/12/25"/>
    <s v="8:36 a. m."/>
    <s v="6/13/25"/>
    <s v="10:38 a. m."/>
    <s v="1d 2h 1m"/>
    <s v="Resuelto"/>
  </r>
  <r>
    <x v="2"/>
    <m/>
    <s v="Llamadas (todas las opciones)"/>
    <s v="Se cortan todas las llamadas en línea; no permite devolver la llamada ni marcando el 7 adelante."/>
    <s v="9"/>
    <x v="8"/>
    <x v="1"/>
    <s v="7/9/25"/>
    <s v="11:26 a. m."/>
    <s v="7/9/25"/>
    <s v="11:31 a. m."/>
    <s v="0h 4m"/>
    <s v="Resuelto"/>
  </r>
  <r>
    <x v="2"/>
    <m/>
    <s v="Citrix"/>
    <s v="Incidencia masiva de Citrix reportada por Pacífico Seguro."/>
    <s v="30"/>
    <x v="1"/>
    <x v="1"/>
    <s v="9/30/25"/>
    <s v="6:02 p. m."/>
    <m/>
    <m/>
    <m/>
    <s v="Sin resolución registrada"/>
  </r>
  <r>
    <x v="2"/>
    <m/>
    <s v="Llamadas (todas las opciones)"/>
    <s v="Se cortan las llamadas por todas las opciones (415, 513, 626); solo la opción 9 de emergencia ingresa con normalidad."/>
    <s v="1"/>
    <x v="2"/>
    <x v="1"/>
    <s v="10/1/25"/>
    <s v="8:42 a. m."/>
    <m/>
    <m/>
    <m/>
    <s v="Sin resolución registrada"/>
  </r>
  <r>
    <x v="2"/>
    <m/>
    <s v="Central Telefónica / Genesys"/>
    <s v="Se cortan las llamadas y se coloca en estado 'No responde'."/>
    <s v="5"/>
    <x v="2"/>
    <x v="1"/>
    <s v="12/5/25"/>
    <s v="3:02 p. m."/>
    <s v="12/5/25"/>
    <s v="3:21 p. m."/>
    <s v="0h 18m"/>
    <s v="Resuelto"/>
  </r>
  <r>
    <x v="2"/>
    <m/>
    <s v="Central Telefónica / Genesys"/>
    <s v="Se repite el mismo incidente de corte de llamadas por segunda vez en el día."/>
    <s v="5"/>
    <x v="2"/>
    <x v="1"/>
    <s v="12/5/25"/>
    <s v="4:02 p. m."/>
    <s v="12/5/25"/>
    <s v="4:16 p. m."/>
    <s v="0h 13m"/>
    <s v="Resuelto"/>
  </r>
  <r>
    <x v="2"/>
    <m/>
    <s v="Central Telefónica (4151515)"/>
    <s v="No ingresan las llamadas al 4151515 desde el inicio de la llamada, solo queda timbrando; se confirma que solo la central de Pacífico está caída."/>
    <s v="5"/>
    <x v="2"/>
    <x v="2"/>
    <s v="1/5/26"/>
    <s v="5:59 p. m."/>
    <m/>
    <m/>
    <m/>
    <s v="Sin resolución registrada"/>
  </r>
  <r>
    <x v="2"/>
    <m/>
    <s v="Central Telefónica (5135000 / 415, opciones de emergencia)"/>
    <s v="No ingresan llamadas por la opción 8.2 ni 4.1; por el 5135000 no ingresan las llamadas de emergencia."/>
    <s v="24"/>
    <x v="2"/>
    <x v="2"/>
    <s v="1/24/26"/>
    <s v="4:15 p. m."/>
    <s v="1/24/26"/>
    <s v="4:32 p. m."/>
    <s v="0h 16m"/>
    <s v="Resuelto"/>
  </r>
  <r>
    <x v="2"/>
    <m/>
    <s v="Central Telefónica (5135000 / 415, opciones de emergencia)"/>
    <s v="Se repite el corte de llamadas por segunda vez en el día; la central de Pacífico no responde ante Convexus."/>
    <s v="24"/>
    <x v="2"/>
    <x v="2"/>
    <s v="1/24/26"/>
    <s v="5:08 p. m."/>
    <m/>
    <m/>
    <m/>
    <s v="Sin resolución registrada"/>
  </r>
  <r>
    <x v="2"/>
    <m/>
    <s v="Genesys / Avaya"/>
    <s v="Las llamadas se pierden y no ingresan al asesor; se activa contingencia configurando usuarios en Avaya mientras se revisa con Crossnet."/>
    <s v="9"/>
    <x v="3"/>
    <x v="2"/>
    <s v="2/9/26"/>
    <s v="8:44 a. m."/>
    <m/>
    <m/>
    <m/>
    <s v="Sin resolución registrada"/>
  </r>
  <r>
    <x v="2"/>
    <m/>
    <s v="Llamadas (toda la planta)"/>
    <s v="Las llamadas quedaron pegadas sin finalizar; se solucionó el inconveniente, fueron 4 usuarios afectados."/>
    <s v="19"/>
    <x v="4"/>
    <x v="2"/>
    <s v="3/19/26"/>
    <s v="3:15 p. m."/>
    <s v="3/19/26"/>
    <s v="3:24 p. m."/>
    <s v="0h 9m"/>
    <s v="Resuelto"/>
  </r>
  <r>
    <x v="2"/>
    <m/>
    <s v="Llamadas (varias posiciones)"/>
    <s v="Se cortan las llamadas por unos segundos y se restablecen; las llamadas que ingresan se escuchan entrecortadas."/>
    <s v="27"/>
    <x v="6"/>
    <x v="2"/>
    <s v="5/27/26"/>
    <s v="3:23 p. m."/>
    <m/>
    <m/>
    <m/>
    <s v="Sin resolución registrada"/>
  </r>
  <r>
    <x v="2"/>
    <m/>
    <s v="SITEDS"/>
    <s v="Nueva caída de SITEDS; se informó a Pacífico sin respuesta de solución."/>
    <s v="16"/>
    <x v="7"/>
    <x v="2"/>
    <s v="6/16/26"/>
    <s v="9:09 a. m."/>
    <m/>
    <m/>
    <m/>
    <s v="Sin resolución registrada"/>
  </r>
  <r>
    <x v="2"/>
    <m/>
    <s v="Central Telefónica / Genesys (CIC Salud y Especialistas)"/>
    <s v="No están ingresando llamadas al CIC Salud ni a Especialistas Salud; tampoco entran llamadas a la central de emergencias. Se activa contingencia con Avaya."/>
    <s v="16"/>
    <x v="7"/>
    <x v="2"/>
    <s v="6/16/26"/>
    <s v="3:13 p. m."/>
    <s v="6/16/26"/>
    <s v="3:57 p. m."/>
    <s v="0h 43m"/>
    <s v="Resuelto"/>
  </r>
  <r>
    <x v="2"/>
    <m/>
    <s v="Llamadas (equipo de especialistas)"/>
    <s v="Se cortaron las llamadas del equipo de especialistas; volvieron a ingresar con normalidad de inmediato."/>
    <s v="25"/>
    <x v="7"/>
    <x v="2"/>
    <s v="6/25/26"/>
    <s v="6:15 p. m."/>
    <s v="6/25/26"/>
    <s v="6:15 p. m."/>
    <s v="0h 0m"/>
    <s v="Resuelto"/>
  </r>
  <r>
    <x v="2"/>
    <m/>
    <s v="Llamadas"/>
    <s v="Se cortan las llamadas y se cambia a estado 'No listo'; comunicación entrecortada, sistemas lentos para ingresar a aplicativos."/>
    <s v="4"/>
    <x v="0"/>
    <x v="2"/>
    <s v="8/4/26"/>
    <s v="9:11 a. m."/>
    <m/>
    <m/>
    <m/>
    <s v="Sin resolución registrada"/>
  </r>
  <r>
    <x v="3"/>
    <m/>
    <s v="SITEDS"/>
    <s v="Se presenta una incidencia en SITEDS; se aplica Plan de Contingencia mientras se revisa."/>
    <s v="5"/>
    <x v="4"/>
    <x v="2"/>
    <s v="3/5/26"/>
    <s v="4:32 p. m."/>
    <s v="3/5/26"/>
    <s v="5:21 p. m."/>
    <s v="0h 49m"/>
    <s v="Resuelto"/>
  </r>
  <r>
    <x v="3"/>
    <m/>
    <s v="SITEDS"/>
    <s v="Caída de Sited; se apertura Plan de Contingencia."/>
    <s v="5"/>
    <x v="6"/>
    <x v="2"/>
    <s v="5/5/26"/>
    <s v="8:46 a. m."/>
    <s v="5/5/26"/>
    <s v="9:15 a. m."/>
    <s v="0h 29m"/>
    <s v="Resuelto"/>
  </r>
  <r>
    <x v="3"/>
    <m/>
    <s v="SITEDS"/>
    <s v="Caída de Sited; se apertura Plan de Contingencia."/>
    <s v="21"/>
    <x v="6"/>
    <x v="2"/>
    <s v="5/21/26"/>
    <s v="4:11 p. m."/>
    <s v="5/21/26"/>
    <s v="5:47 p. m."/>
    <s v="1h 36m"/>
    <s v="Resuelto"/>
  </r>
  <r>
    <x v="3"/>
    <m/>
    <s v="SITEDS"/>
    <s v="Caída de Sited; se apertura Plan de Contingencia."/>
    <s v="15"/>
    <x v="7"/>
    <x v="2"/>
    <s v="6/15/26"/>
    <s v="9:32 a. m."/>
    <s v="6/15/26"/>
    <s v="2:48 p. m."/>
    <s v="5h 16m"/>
    <s v="Resuelto"/>
  </r>
  <r>
    <x v="3"/>
    <m/>
    <s v="SITEDS"/>
    <s v="Caída de Sited; se apertura Plan de Contingencia (reabierto la misma noche y reconfirmado a la mañana siguiente)."/>
    <s v="15"/>
    <x v="7"/>
    <x v="2"/>
    <s v="6/15/26"/>
    <s v="5:36 p. m."/>
    <s v="6/16/26"/>
    <s v="2:30 p. m."/>
    <s v="20h 54m"/>
    <s v="Resuelto"/>
  </r>
  <r>
    <x v="3"/>
    <m/>
    <s v="SITEDS"/>
    <s v="Caída de Sited; se apertura Plan de Contingencia (reabierto al día siguiente y reportado como 'sigue abierto'; se confirma el 25/jun que terminó el día anterior, 24/jun, sin hora exacta de cierre registrada)."/>
    <s v="22"/>
    <x v="7"/>
    <x v="2"/>
    <s v="6/22/26"/>
    <s v="8:41 a. m."/>
    <s v="6/24/26"/>
    <m/>
    <m/>
    <s v="Resuelto"/>
  </r>
  <r>
    <x v="3"/>
    <m/>
    <s v="SITEDS"/>
    <s v="Se activó Plan de Contingencia (solo atender primera atención)."/>
    <s v="13"/>
    <x v="8"/>
    <x v="2"/>
    <s v="7/13/26"/>
    <s v="10:44 a. m."/>
    <m/>
    <m/>
    <m/>
    <s v="Sin resolución registrada"/>
  </r>
  <r>
    <x v="3"/>
    <m/>
    <s v="SITEDS"/>
    <s v="Caída de Sited; se apertura Plan de Contingencia."/>
    <s v="7"/>
    <x v="0"/>
    <x v="2"/>
    <s v="8/7/26"/>
    <s v="2:28 p. m."/>
    <m/>
    <m/>
    <m/>
    <s v="Sin resolución registra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15804F-7784-4348-9F63-548C7BFDB067}" name="TablaDinámica8" cacheId="4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J4:K10" firstHeaderRow="1" firstDataRow="1" firstDataCol="1" rowPageCount="2" colPageCount="1"/>
  <pivotFields count="13">
    <pivotField axis="axisPage" showAll="0">
      <items count="5">
        <item x="0"/>
        <item x="1"/>
        <item x="2"/>
        <item x="3"/>
        <item t="default"/>
      </items>
    </pivotField>
    <pivotField showAll="0"/>
    <pivotField showAll="0"/>
    <pivotField dataField="1" showAll="0"/>
    <pivotField showAll="0"/>
    <pivotField axis="axisRow" showAll="0">
      <items count="10">
        <item x="2"/>
        <item x="3"/>
        <item x="4"/>
        <item x="5"/>
        <item x="6"/>
        <item x="7"/>
        <item x="8"/>
        <item x="0"/>
        <item x="1"/>
        <item t="default"/>
      </items>
    </pivotField>
    <pivotField axis="axisPage" showAll="0">
      <items count="4">
        <item x="0"/>
        <item x="1"/>
        <item x="2"/>
        <item t="default"/>
      </items>
    </pivotField>
    <pivotField showAll="0"/>
    <pivotField showAll="0"/>
    <pivotField showAll="0"/>
    <pivotField showAll="0"/>
    <pivotField showAll="0"/>
    <pivotField showAll="0"/>
  </pivotFields>
  <rowFields count="1">
    <field x="5"/>
  </rowFields>
  <rowItems count="6">
    <i>
      <x v="2"/>
    </i>
    <i>
      <x v="4"/>
    </i>
    <i>
      <x v="5"/>
    </i>
    <i>
      <x v="6"/>
    </i>
    <i>
      <x v="7"/>
    </i>
    <i t="grand">
      <x/>
    </i>
  </rowItems>
  <colItems count="1">
    <i/>
  </colItems>
  <pageFields count="2">
    <pageField fld="6" item="2" hier="-1"/>
    <pageField fld="0" item="3" hier="-1"/>
  </pageFields>
  <dataFields count="1">
    <dataField name="Cuenta de Incidente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96ABD7-DAC8-4801-B856-FFC21F3F9719}" name="TablaDinámica7" cacheId="4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4:H11" firstHeaderRow="1" firstDataRow="1" firstDataCol="1" rowPageCount="2" colPageCount="1"/>
  <pivotFields count="13">
    <pivotField axis="axisPage" showAll="0">
      <items count="5">
        <item x="0"/>
        <item x="1"/>
        <item x="2"/>
        <item x="3"/>
        <item t="default"/>
      </items>
    </pivotField>
    <pivotField showAll="0"/>
    <pivotField showAll="0"/>
    <pivotField dataField="1" showAll="0"/>
    <pivotField showAll="0"/>
    <pivotField axis="axisRow" showAll="0">
      <items count="10">
        <item x="2"/>
        <item x="3"/>
        <item x="4"/>
        <item x="5"/>
        <item x="6"/>
        <item x="7"/>
        <item x="8"/>
        <item x="0"/>
        <item x="1"/>
        <item t="default"/>
      </items>
    </pivotField>
    <pivotField axis="axisPage" showAll="0">
      <items count="4">
        <item x="0"/>
        <item x="1"/>
        <item x="2"/>
        <item t="default"/>
      </items>
    </pivotField>
    <pivotField showAll="0"/>
    <pivotField showAll="0"/>
    <pivotField showAll="0"/>
    <pivotField showAll="0"/>
    <pivotField showAll="0"/>
    <pivotField showAll="0"/>
  </pivotFields>
  <rowFields count="1">
    <field x="5"/>
  </rowFields>
  <rowItems count="7">
    <i>
      <x/>
    </i>
    <i>
      <x v="1"/>
    </i>
    <i>
      <x v="2"/>
    </i>
    <i>
      <x v="4"/>
    </i>
    <i>
      <x v="5"/>
    </i>
    <i>
      <x v="7"/>
    </i>
    <i t="grand">
      <x/>
    </i>
  </rowItems>
  <colItems count="1">
    <i/>
  </colItems>
  <pageFields count="2">
    <pageField fld="6" item="2" hier="-1"/>
    <pageField fld="0" item="2" hier="-1"/>
  </pageFields>
  <dataFields count="1">
    <dataField name="Cuenta de Incidente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1DE60-66F5-421A-840C-64AC43D018AF}" name="TablaDinámica6" cacheId="4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4:E7" firstHeaderRow="1" firstDataRow="1" firstDataCol="1" rowPageCount="2" colPageCount="1"/>
  <pivotFields count="13">
    <pivotField axis="axisPage" showAll="0">
      <items count="5">
        <item x="0"/>
        <item x="1"/>
        <item x="2"/>
        <item x="3"/>
        <item t="default"/>
      </items>
    </pivotField>
    <pivotField showAll="0"/>
    <pivotField showAll="0"/>
    <pivotField dataField="1" showAll="0"/>
    <pivotField showAll="0"/>
    <pivotField axis="axisRow" showAll="0">
      <items count="10">
        <item x="2"/>
        <item x="3"/>
        <item x="4"/>
        <item x="5"/>
        <item x="6"/>
        <item x="7"/>
        <item x="8"/>
        <item x="0"/>
        <item x="1"/>
        <item t="default"/>
      </items>
    </pivotField>
    <pivotField axis="axisPage" showAll="0">
      <items count="4">
        <item x="0"/>
        <item x="1"/>
        <item x="2"/>
        <item t="default"/>
      </items>
    </pivotField>
    <pivotField showAll="0"/>
    <pivotField showAll="0"/>
    <pivotField showAll="0"/>
    <pivotField showAll="0"/>
    <pivotField showAll="0"/>
    <pivotField showAll="0"/>
  </pivotFields>
  <rowFields count="1">
    <field x="5"/>
  </rowFields>
  <rowItems count="3">
    <i>
      <x v="4"/>
    </i>
    <i>
      <x v="5"/>
    </i>
    <i t="grand">
      <x/>
    </i>
  </rowItems>
  <colItems count="1">
    <i/>
  </colItems>
  <pageFields count="2">
    <pageField fld="6" item="2" hier="-1"/>
    <pageField fld="0" item="1" hier="-1"/>
  </pageFields>
  <dataFields count="1">
    <dataField name="Cuenta de Incidente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6ADDE7-2EC0-4D24-B67A-64BD0084671B}" name="TablaDinámica5" cacheId="4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13" firstHeaderRow="1" firstDataRow="1" firstDataCol="1" rowPageCount="2" colPageCount="1"/>
  <pivotFields count="13">
    <pivotField axis="axisPage" showAll="0">
      <items count="5">
        <item x="0"/>
        <item x="1"/>
        <item x="2"/>
        <item x="3"/>
        <item t="default"/>
      </items>
    </pivotField>
    <pivotField showAll="0"/>
    <pivotField showAll="0"/>
    <pivotField dataField="1" showAll="0"/>
    <pivotField showAll="0"/>
    <pivotField axis="axisRow" showAll="0">
      <items count="10">
        <item x="2"/>
        <item x="3"/>
        <item x="4"/>
        <item x="5"/>
        <item x="6"/>
        <item x="7"/>
        <item x="8"/>
        <item x="0"/>
        <item x="1"/>
        <item t="default"/>
      </items>
    </pivotField>
    <pivotField axis="axisPage" showAll="0">
      <items count="4">
        <item x="0"/>
        <item x="1"/>
        <item x="2"/>
        <item t="default"/>
      </items>
    </pivotField>
    <pivotField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pageFields count="2">
    <pageField fld="6" item="2" hier="-1"/>
    <pageField fld="0" item="0" hier="-1"/>
  </pageFields>
  <dataFields count="1">
    <dataField name="Cuenta de Incidente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5D75C8-0D1C-43D9-8641-EACDF473A8AD}" name="Incidentes_wttsp" displayName="Incidentes_wttsp" ref="A1:M115" totalsRowShown="0" headerRowDxfId="0" dataDxfId="1">
  <autoFilter ref="A1:M115" xr:uid="{00000000-0009-0000-0000-000000000000}"/>
  <tableColumns count="13">
    <tableColumn id="1" xr3:uid="{168421D5-D62E-44AE-B5CD-BCF4E52481F7}" name="Área" dataDxfId="14"/>
    <tableColumn id="2" xr3:uid="{FD5C0858-0D14-45EE-B26F-C072A97EAFC8}" name="Ticket" dataDxfId="13"/>
    <tableColumn id="3" xr3:uid="{A994FD01-601E-431F-82A2-52DD2A729815}" name="Aplicación" dataDxfId="12"/>
    <tableColumn id="4" xr3:uid="{7398B1FE-85FC-472B-AC99-700F90C0C940}" name="Incidentes" dataDxfId="11"/>
    <tableColumn id="5" xr3:uid="{BE02DB6A-3A2F-45AE-BFF0-58EBEEFB4548}" name="DÍA" dataDxfId="10">
      <calculatedColumnFormula>MID(H2,SEARCH("/",H2)+1,SEARCH("/",H2,SEARCH("/",H2)+1)-SEARCH("/",H2)-1)</calculatedColumnFormula>
    </tableColumn>
    <tableColumn id="6" xr3:uid="{867DF178-9D72-4A22-9835-33F233CE771D}" name="MES" dataDxfId="9">
      <calculatedColumnFormula>LEFT(H2,1)</calculatedColumnFormula>
    </tableColumn>
    <tableColumn id="7" xr3:uid="{E04A5B02-1262-431D-9ACF-21C968E5668D}" name="AÑO" dataDxfId="8">
      <calculatedColumnFormula>RIGHT(H2,2)</calculatedColumnFormula>
    </tableColumn>
    <tableColumn id="8" xr3:uid="{B42B7794-403C-4ECF-BE14-24A7E8B417B7}" name="Fecha Inicio" dataDxfId="7"/>
    <tableColumn id="9" xr3:uid="{A4E31143-A178-4E7E-9064-57BF0A85E881}" name="Hora Inicio" dataDxfId="6"/>
    <tableColumn id="10" xr3:uid="{073C675D-985D-4051-8015-24C7ABDAA596}" name="Fecha Fin" dataDxfId="5"/>
    <tableColumn id="11" xr3:uid="{C94829B1-FBFA-42A7-9F66-4370D2D35605}" name="Hora Fin" dataDxfId="4"/>
    <tableColumn id="12" xr3:uid="{687D98C8-DCEB-459C-AB42-9D669EF81AB9}" name="Duración" dataDxfId="3"/>
    <tableColumn id="13" xr3:uid="{D1D4546C-340E-4590-8457-5359FE3F4C13}" name="Estado"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05EAA-7C43-4E93-BEAD-D26AA6668435}">
  <dimension ref="A1:K13"/>
  <sheetViews>
    <sheetView workbookViewId="0">
      <selection activeCell="I18" sqref="I18"/>
    </sheetView>
  </sheetViews>
  <sheetFormatPr baseColWidth="10" defaultRowHeight="14.5" x14ac:dyDescent="0.35"/>
  <cols>
    <col min="1" max="1" width="16.54296875" bestFit="1" customWidth="1"/>
    <col min="2" max="2" width="18.54296875" bestFit="1" customWidth="1"/>
    <col min="3" max="3" width="3.453125" customWidth="1"/>
    <col min="4" max="4" width="16.54296875" bestFit="1" customWidth="1"/>
    <col min="5" max="5" width="18.54296875" bestFit="1" customWidth="1"/>
    <col min="6" max="6" width="3.81640625" customWidth="1"/>
    <col min="7" max="7" width="16.54296875" bestFit="1" customWidth="1"/>
    <col min="8" max="8" width="18.54296875" bestFit="1" customWidth="1"/>
    <col min="9" max="9" width="3.36328125" customWidth="1"/>
    <col min="10" max="10" width="8.7265625" customWidth="1"/>
    <col min="11" max="11" width="18.54296875" bestFit="1" customWidth="1"/>
  </cols>
  <sheetData>
    <row r="1" spans="1:11" x14ac:dyDescent="0.35">
      <c r="A1" s="8" t="s">
        <v>575</v>
      </c>
      <c r="B1" t="s">
        <v>587</v>
      </c>
      <c r="D1" s="8" t="s">
        <v>575</v>
      </c>
      <c r="E1" t="s">
        <v>587</v>
      </c>
      <c r="G1" s="8" t="s">
        <v>575</v>
      </c>
      <c r="H1" t="s">
        <v>587</v>
      </c>
      <c r="J1" s="8" t="s">
        <v>575</v>
      </c>
      <c r="K1" t="s">
        <v>587</v>
      </c>
    </row>
    <row r="2" spans="1:11" x14ac:dyDescent="0.35">
      <c r="A2" s="8" t="s">
        <v>0</v>
      </c>
      <c r="B2" t="s">
        <v>10</v>
      </c>
      <c r="D2" s="8" t="s">
        <v>0</v>
      </c>
      <c r="E2" t="s">
        <v>386</v>
      </c>
      <c r="G2" s="8" t="s">
        <v>0</v>
      </c>
      <c r="H2" t="s">
        <v>456</v>
      </c>
      <c r="J2" s="8" t="s">
        <v>0</v>
      </c>
      <c r="K2" t="s">
        <v>546</v>
      </c>
    </row>
    <row r="4" spans="1:11" x14ac:dyDescent="0.35">
      <c r="A4" s="8" t="s">
        <v>577</v>
      </c>
      <c r="B4" t="s">
        <v>576</v>
      </c>
      <c r="D4" s="8" t="s">
        <v>577</v>
      </c>
      <c r="E4" t="s">
        <v>576</v>
      </c>
      <c r="G4" s="8" t="s">
        <v>577</v>
      </c>
      <c r="H4" t="s">
        <v>576</v>
      </c>
      <c r="J4" s="8" t="s">
        <v>577</v>
      </c>
      <c r="K4" t="s">
        <v>576</v>
      </c>
    </row>
    <row r="5" spans="1:11" x14ac:dyDescent="0.35">
      <c r="A5" s="10" t="s">
        <v>578</v>
      </c>
      <c r="B5" s="9">
        <v>2</v>
      </c>
      <c r="D5" s="10" t="s">
        <v>582</v>
      </c>
      <c r="E5" s="9">
        <v>1</v>
      </c>
      <c r="G5" s="10" t="s">
        <v>578</v>
      </c>
      <c r="H5" s="9">
        <v>3</v>
      </c>
      <c r="J5" s="10" t="s">
        <v>580</v>
      </c>
      <c r="K5" s="9">
        <v>1</v>
      </c>
    </row>
    <row r="6" spans="1:11" x14ac:dyDescent="0.35">
      <c r="A6" s="10" t="s">
        <v>579</v>
      </c>
      <c r="B6" s="9">
        <v>2</v>
      </c>
      <c r="D6" s="10" t="s">
        <v>583</v>
      </c>
      <c r="E6" s="9">
        <v>3</v>
      </c>
      <c r="G6" s="10" t="s">
        <v>579</v>
      </c>
      <c r="H6" s="9">
        <v>1</v>
      </c>
      <c r="J6" s="10" t="s">
        <v>582</v>
      </c>
      <c r="K6" s="9">
        <v>2</v>
      </c>
    </row>
    <row r="7" spans="1:11" x14ac:dyDescent="0.35">
      <c r="A7" s="10" t="s">
        <v>580</v>
      </c>
      <c r="B7" s="9">
        <v>3</v>
      </c>
      <c r="D7" s="10" t="s">
        <v>586</v>
      </c>
      <c r="E7" s="9">
        <v>4</v>
      </c>
      <c r="G7" s="10" t="s">
        <v>580</v>
      </c>
      <c r="H7" s="9">
        <v>1</v>
      </c>
      <c r="J7" s="10" t="s">
        <v>583</v>
      </c>
      <c r="K7" s="9">
        <v>3</v>
      </c>
    </row>
    <row r="8" spans="1:11" x14ac:dyDescent="0.35">
      <c r="A8" s="10" t="s">
        <v>581</v>
      </c>
      <c r="B8" s="9">
        <v>2</v>
      </c>
      <c r="G8" s="10" t="s">
        <v>582</v>
      </c>
      <c r="H8" s="9">
        <v>1</v>
      </c>
      <c r="J8" s="10" t="s">
        <v>584</v>
      </c>
      <c r="K8" s="9">
        <v>1</v>
      </c>
    </row>
    <row r="9" spans="1:11" x14ac:dyDescent="0.35">
      <c r="A9" s="10" t="s">
        <v>582</v>
      </c>
      <c r="B9" s="9">
        <v>3</v>
      </c>
      <c r="G9" s="10" t="s">
        <v>583</v>
      </c>
      <c r="H9" s="9">
        <v>3</v>
      </c>
      <c r="J9" s="10" t="s">
        <v>585</v>
      </c>
      <c r="K9" s="9">
        <v>1</v>
      </c>
    </row>
    <row r="10" spans="1:11" x14ac:dyDescent="0.35">
      <c r="A10" s="10" t="s">
        <v>583</v>
      </c>
      <c r="B10" s="9">
        <v>3</v>
      </c>
      <c r="G10" s="10" t="s">
        <v>585</v>
      </c>
      <c r="H10" s="9">
        <v>1</v>
      </c>
      <c r="J10" s="10" t="s">
        <v>586</v>
      </c>
      <c r="K10" s="9">
        <v>8</v>
      </c>
    </row>
    <row r="11" spans="1:11" x14ac:dyDescent="0.35">
      <c r="A11" s="10" t="s">
        <v>584</v>
      </c>
      <c r="B11" s="9">
        <v>5</v>
      </c>
      <c r="G11" s="10" t="s">
        <v>586</v>
      </c>
      <c r="H11" s="9">
        <v>10</v>
      </c>
    </row>
    <row r="12" spans="1:11" x14ac:dyDescent="0.35">
      <c r="A12" s="10" t="s">
        <v>585</v>
      </c>
      <c r="B12" s="9">
        <v>5</v>
      </c>
    </row>
    <row r="13" spans="1:11" x14ac:dyDescent="0.35">
      <c r="A13" s="10" t="s">
        <v>586</v>
      </c>
      <c r="B13" s="9">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5"/>
  <sheetViews>
    <sheetView tabSelected="1" zoomScaleNormal="100" workbookViewId="0">
      <pane ySplit="1" topLeftCell="A2" activePane="bottomLeft" state="frozen"/>
      <selection pane="bottomLeft" activeCell="C4" sqref="C4"/>
    </sheetView>
  </sheetViews>
  <sheetFormatPr baseColWidth="10" defaultColWidth="8.6328125" defaultRowHeight="14.5" x14ac:dyDescent="0.35"/>
  <cols>
    <col min="1" max="1" width="16" customWidth="1"/>
    <col min="2" max="2" width="14" customWidth="1"/>
    <col min="3" max="3" width="34" customWidth="1"/>
    <col min="4" max="4" width="65" customWidth="1"/>
    <col min="5" max="5" width="9" bestFit="1" customWidth="1"/>
    <col min="6" max="6" width="9.6328125" bestFit="1" customWidth="1"/>
    <col min="7" max="7" width="9.7265625" bestFit="1" customWidth="1"/>
    <col min="8" max="8" width="13.81640625" customWidth="1"/>
    <col min="9" max="9" width="12.6328125" customWidth="1"/>
    <col min="10" max="12" width="12" customWidth="1"/>
    <col min="13" max="13" width="22" customWidth="1"/>
  </cols>
  <sheetData>
    <row r="1" spans="1:13" x14ac:dyDescent="0.35">
      <c r="A1" s="1" t="s">
        <v>0</v>
      </c>
      <c r="B1" s="1" t="s">
        <v>1</v>
      </c>
      <c r="C1" s="1" t="s">
        <v>2</v>
      </c>
      <c r="D1" s="1" t="s">
        <v>3</v>
      </c>
      <c r="E1" s="1" t="s">
        <v>573</v>
      </c>
      <c r="F1" s="1" t="s">
        <v>574</v>
      </c>
      <c r="G1" s="1" t="s">
        <v>575</v>
      </c>
      <c r="H1" s="1" t="s">
        <v>4</v>
      </c>
      <c r="I1" s="1" t="s">
        <v>5</v>
      </c>
      <c r="J1" s="1" t="s">
        <v>6</v>
      </c>
      <c r="K1" s="1" t="s">
        <v>7</v>
      </c>
      <c r="L1" s="1" t="s">
        <v>8</v>
      </c>
      <c r="M1" s="1" t="s">
        <v>9</v>
      </c>
    </row>
    <row r="2" spans="1:13" ht="50" x14ac:dyDescent="0.35">
      <c r="A2" s="3" t="s">
        <v>10</v>
      </c>
      <c r="B2" s="2"/>
      <c r="C2" s="2" t="s">
        <v>11</v>
      </c>
      <c r="D2" s="4" t="s">
        <v>12</v>
      </c>
      <c r="E2" s="4" t="str">
        <f>MID(H2,SEARCH("/",H2)+1,SEARCH("/",H2,SEARCH("/",H2)+1)-SEARCH("/",H2)-1)</f>
        <v>13</v>
      </c>
      <c r="F2" s="4" t="str">
        <f>LEFT(H2,1)</f>
        <v>8</v>
      </c>
      <c r="G2" s="4" t="str">
        <f>RIGHT(H2,2)</f>
        <v>24</v>
      </c>
      <c r="H2" s="2" t="s">
        <v>13</v>
      </c>
      <c r="I2" s="2" t="s">
        <v>14</v>
      </c>
      <c r="J2" s="2" t="s">
        <v>13</v>
      </c>
      <c r="K2" s="2" t="s">
        <v>15</v>
      </c>
      <c r="L2" s="2" t="s">
        <v>16</v>
      </c>
      <c r="M2" s="2" t="s">
        <v>17</v>
      </c>
    </row>
    <row r="3" spans="1:13" ht="37.5" x14ac:dyDescent="0.35">
      <c r="A3" s="3" t="s">
        <v>10</v>
      </c>
      <c r="B3" s="2" t="s">
        <v>18</v>
      </c>
      <c r="C3" s="2" t="s">
        <v>19</v>
      </c>
      <c r="D3" s="4" t="s">
        <v>20</v>
      </c>
      <c r="E3" s="4" t="str">
        <f t="shared" ref="E3:E66" si="0">MID(H3,SEARCH("/",H3)+1,SEARCH("/",H3,SEARCH("/",H3)+1)-SEARCH("/",H3)-1)</f>
        <v>27</v>
      </c>
      <c r="F3" s="4" t="str">
        <f t="shared" ref="F3:F66" si="1">LEFT(H3,1)</f>
        <v>8</v>
      </c>
      <c r="G3" s="4" t="str">
        <f t="shared" ref="G3:G66" si="2">RIGHT(H3,2)</f>
        <v>24</v>
      </c>
      <c r="H3" s="2" t="s">
        <v>21</v>
      </c>
      <c r="I3" s="2" t="s">
        <v>22</v>
      </c>
      <c r="J3" s="2"/>
      <c r="K3" s="2"/>
      <c r="L3" s="2"/>
      <c r="M3" s="2" t="s">
        <v>23</v>
      </c>
    </row>
    <row r="4" spans="1:13" ht="25" x14ac:dyDescent="0.35">
      <c r="A4" s="3" t="s">
        <v>10</v>
      </c>
      <c r="B4" s="2" t="s">
        <v>24</v>
      </c>
      <c r="C4" s="2" t="s">
        <v>25</v>
      </c>
      <c r="D4" s="4" t="s">
        <v>26</v>
      </c>
      <c r="E4" s="4" t="str">
        <f t="shared" si="0"/>
        <v>24</v>
      </c>
      <c r="F4" s="4" t="str">
        <f t="shared" si="1"/>
        <v>9</v>
      </c>
      <c r="G4" s="4" t="str">
        <f t="shared" si="2"/>
        <v>24</v>
      </c>
      <c r="H4" s="2" t="s">
        <v>27</v>
      </c>
      <c r="I4" s="2" t="s">
        <v>28</v>
      </c>
      <c r="J4" s="2" t="s">
        <v>27</v>
      </c>
      <c r="K4" s="2" t="s">
        <v>29</v>
      </c>
      <c r="L4" s="2" t="s">
        <v>30</v>
      </c>
      <c r="M4" s="2" t="s">
        <v>17</v>
      </c>
    </row>
    <row r="5" spans="1:13" ht="75" x14ac:dyDescent="0.35">
      <c r="A5" s="3" t="s">
        <v>10</v>
      </c>
      <c r="B5" s="2" t="s">
        <v>31</v>
      </c>
      <c r="C5" s="2" t="s">
        <v>25</v>
      </c>
      <c r="D5" s="4" t="s">
        <v>32</v>
      </c>
      <c r="E5" s="4" t="str">
        <f t="shared" si="0"/>
        <v>5</v>
      </c>
      <c r="F5" s="4" t="str">
        <f t="shared" si="1"/>
        <v>1</v>
      </c>
      <c r="G5" s="4" t="str">
        <f t="shared" si="2"/>
        <v>24</v>
      </c>
      <c r="H5" s="2" t="s">
        <v>33</v>
      </c>
      <c r="I5" s="2" t="s">
        <v>34</v>
      </c>
      <c r="J5" s="2"/>
      <c r="K5" s="2"/>
      <c r="L5" s="2"/>
      <c r="M5" s="2" t="s">
        <v>23</v>
      </c>
    </row>
    <row r="6" spans="1:13" x14ac:dyDescent="0.35">
      <c r="A6" s="3" t="s">
        <v>10</v>
      </c>
      <c r="B6" s="2"/>
      <c r="C6" s="2" t="s">
        <v>35</v>
      </c>
      <c r="D6" s="4" t="s">
        <v>36</v>
      </c>
      <c r="E6" s="4" t="str">
        <f t="shared" si="0"/>
        <v>11</v>
      </c>
      <c r="F6" s="4" t="str">
        <f t="shared" si="1"/>
        <v>1</v>
      </c>
      <c r="G6" s="4" t="str">
        <f t="shared" si="2"/>
        <v>24</v>
      </c>
      <c r="H6" s="2" t="s">
        <v>37</v>
      </c>
      <c r="I6" s="2" t="s">
        <v>38</v>
      </c>
      <c r="J6" s="2"/>
      <c r="K6" s="2"/>
      <c r="L6" s="2"/>
      <c r="M6" s="2" t="s">
        <v>23</v>
      </c>
    </row>
    <row r="7" spans="1:13" x14ac:dyDescent="0.35">
      <c r="A7" s="3" t="s">
        <v>10</v>
      </c>
      <c r="B7" s="2" t="s">
        <v>39</v>
      </c>
      <c r="C7" s="2" t="s">
        <v>40</v>
      </c>
      <c r="D7" s="4" t="s">
        <v>41</v>
      </c>
      <c r="E7" s="4" t="str">
        <f t="shared" si="0"/>
        <v>14</v>
      </c>
      <c r="F7" s="4" t="str">
        <f t="shared" si="1"/>
        <v>1</v>
      </c>
      <c r="G7" s="4" t="str">
        <f t="shared" si="2"/>
        <v>24</v>
      </c>
      <c r="H7" s="2" t="s">
        <v>42</v>
      </c>
      <c r="I7" s="2" t="s">
        <v>43</v>
      </c>
      <c r="J7" s="2" t="s">
        <v>42</v>
      </c>
      <c r="K7" s="2" t="s">
        <v>44</v>
      </c>
      <c r="L7" s="2" t="s">
        <v>45</v>
      </c>
      <c r="M7" s="2" t="s">
        <v>17</v>
      </c>
    </row>
    <row r="8" spans="1:13" ht="25" x14ac:dyDescent="0.35">
      <c r="A8" s="3" t="s">
        <v>10</v>
      </c>
      <c r="B8" s="2" t="s">
        <v>46</v>
      </c>
      <c r="C8" s="2" t="s">
        <v>47</v>
      </c>
      <c r="D8" s="4" t="s">
        <v>48</v>
      </c>
      <c r="E8" s="4" t="str">
        <f t="shared" si="0"/>
        <v>3</v>
      </c>
      <c r="F8" s="4" t="str">
        <f t="shared" si="1"/>
        <v>1</v>
      </c>
      <c r="G8" s="4" t="str">
        <f t="shared" si="2"/>
        <v>24</v>
      </c>
      <c r="H8" s="2" t="s">
        <v>49</v>
      </c>
      <c r="I8" s="2" t="s">
        <v>50</v>
      </c>
      <c r="J8" s="2"/>
      <c r="K8" s="2"/>
      <c r="L8" s="2"/>
      <c r="M8" s="2" t="s">
        <v>23</v>
      </c>
    </row>
    <row r="9" spans="1:13" ht="25" x14ac:dyDescent="0.35">
      <c r="A9" s="3" t="s">
        <v>10</v>
      </c>
      <c r="B9" s="2" t="s">
        <v>51</v>
      </c>
      <c r="C9" s="2" t="s">
        <v>52</v>
      </c>
      <c r="D9" s="4" t="s">
        <v>53</v>
      </c>
      <c r="E9" s="4" t="str">
        <f t="shared" si="0"/>
        <v>18</v>
      </c>
      <c r="F9" s="4" t="str">
        <f t="shared" si="1"/>
        <v>1</v>
      </c>
      <c r="G9" s="4" t="str">
        <f t="shared" si="2"/>
        <v>24</v>
      </c>
      <c r="H9" s="2" t="s">
        <v>54</v>
      </c>
      <c r="I9" s="2" t="s">
        <v>55</v>
      </c>
      <c r="J9" s="2" t="s">
        <v>54</v>
      </c>
      <c r="K9" s="2" t="s">
        <v>56</v>
      </c>
      <c r="L9" s="2" t="s">
        <v>57</v>
      </c>
      <c r="M9" s="2" t="s">
        <v>17</v>
      </c>
    </row>
    <row r="10" spans="1:13" x14ac:dyDescent="0.35">
      <c r="A10" s="3" t="s">
        <v>10</v>
      </c>
      <c r="B10" s="2"/>
      <c r="C10" s="2" t="s">
        <v>58</v>
      </c>
      <c r="D10" s="4" t="s">
        <v>59</v>
      </c>
      <c r="E10" s="4" t="str">
        <f t="shared" si="0"/>
        <v>26</v>
      </c>
      <c r="F10" s="4" t="str">
        <f t="shared" si="1"/>
        <v>1</v>
      </c>
      <c r="G10" s="4" t="str">
        <f t="shared" si="2"/>
        <v>24</v>
      </c>
      <c r="H10" s="2" t="s">
        <v>60</v>
      </c>
      <c r="I10" s="2" t="s">
        <v>61</v>
      </c>
      <c r="J10" s="2" t="s">
        <v>60</v>
      </c>
      <c r="K10" s="2" t="s">
        <v>62</v>
      </c>
      <c r="L10" s="2" t="s">
        <v>63</v>
      </c>
      <c r="M10" s="2" t="s">
        <v>17</v>
      </c>
    </row>
    <row r="11" spans="1:13" ht="50" x14ac:dyDescent="0.35">
      <c r="A11" s="3" t="s">
        <v>10</v>
      </c>
      <c r="B11" s="2" t="s">
        <v>64</v>
      </c>
      <c r="C11" s="2" t="s">
        <v>65</v>
      </c>
      <c r="D11" s="4" t="s">
        <v>66</v>
      </c>
      <c r="E11" s="4" t="str">
        <f t="shared" si="0"/>
        <v>26</v>
      </c>
      <c r="F11" s="4" t="str">
        <f t="shared" si="1"/>
        <v>1</v>
      </c>
      <c r="G11" s="4" t="str">
        <f t="shared" si="2"/>
        <v>24</v>
      </c>
      <c r="H11" s="2" t="s">
        <v>60</v>
      </c>
      <c r="I11" s="2" t="s">
        <v>67</v>
      </c>
      <c r="J11" s="2" t="s">
        <v>60</v>
      </c>
      <c r="K11" s="2" t="s">
        <v>68</v>
      </c>
      <c r="L11" s="2" t="s">
        <v>69</v>
      </c>
      <c r="M11" s="2" t="s">
        <v>17</v>
      </c>
    </row>
    <row r="12" spans="1:13" x14ac:dyDescent="0.35">
      <c r="A12" s="3" t="s">
        <v>10</v>
      </c>
      <c r="B12" s="2"/>
      <c r="C12" s="2" t="s">
        <v>70</v>
      </c>
      <c r="D12" s="4" t="s">
        <v>71</v>
      </c>
      <c r="E12" s="4" t="str">
        <f t="shared" si="0"/>
        <v>28</v>
      </c>
      <c r="F12" s="4" t="str">
        <f t="shared" si="1"/>
        <v>1</v>
      </c>
      <c r="G12" s="4" t="str">
        <f t="shared" si="2"/>
        <v>24</v>
      </c>
      <c r="H12" s="2" t="s">
        <v>72</v>
      </c>
      <c r="I12" s="2" t="s">
        <v>73</v>
      </c>
      <c r="J12" s="2" t="s">
        <v>72</v>
      </c>
      <c r="K12" s="2" t="s">
        <v>74</v>
      </c>
      <c r="L12" s="2" t="s">
        <v>75</v>
      </c>
      <c r="M12" s="2" t="s">
        <v>17</v>
      </c>
    </row>
    <row r="13" spans="1:13" ht="25" x14ac:dyDescent="0.35">
      <c r="A13" s="3" t="s">
        <v>10</v>
      </c>
      <c r="B13" s="2" t="s">
        <v>76</v>
      </c>
      <c r="C13" s="2" t="s">
        <v>25</v>
      </c>
      <c r="D13" s="4" t="s">
        <v>77</v>
      </c>
      <c r="E13" s="4" t="str">
        <f t="shared" si="0"/>
        <v>5</v>
      </c>
      <c r="F13" s="4" t="str">
        <f t="shared" si="1"/>
        <v>1</v>
      </c>
      <c r="G13" s="4" t="str">
        <f t="shared" si="2"/>
        <v>24</v>
      </c>
      <c r="H13" s="2" t="s">
        <v>78</v>
      </c>
      <c r="I13" s="2" t="s">
        <v>79</v>
      </c>
      <c r="J13" s="2"/>
      <c r="K13" s="2"/>
      <c r="L13" s="2"/>
      <c r="M13" s="2" t="s">
        <v>23</v>
      </c>
    </row>
    <row r="14" spans="1:13" ht="37.5" x14ac:dyDescent="0.35">
      <c r="A14" s="3" t="s">
        <v>10</v>
      </c>
      <c r="B14" s="2"/>
      <c r="C14" s="2" t="s">
        <v>70</v>
      </c>
      <c r="D14" s="4" t="s">
        <v>80</v>
      </c>
      <c r="E14" s="4" t="str">
        <f t="shared" si="0"/>
        <v>17</v>
      </c>
      <c r="F14" s="4" t="str">
        <f t="shared" si="1"/>
        <v>1</v>
      </c>
      <c r="G14" s="4" t="str">
        <f t="shared" si="2"/>
        <v>24</v>
      </c>
      <c r="H14" s="2" t="s">
        <v>81</v>
      </c>
      <c r="I14" s="2" t="s">
        <v>82</v>
      </c>
      <c r="J14" s="2"/>
      <c r="K14" s="2"/>
      <c r="L14" s="2"/>
      <c r="M14" s="2" t="s">
        <v>23</v>
      </c>
    </row>
    <row r="15" spans="1:13" ht="50" x14ac:dyDescent="0.35">
      <c r="A15" s="3" t="s">
        <v>10</v>
      </c>
      <c r="B15" s="2" t="s">
        <v>83</v>
      </c>
      <c r="C15" s="2" t="s">
        <v>84</v>
      </c>
      <c r="D15" s="4" t="s">
        <v>85</v>
      </c>
      <c r="E15" s="4" t="str">
        <f t="shared" si="0"/>
        <v>20</v>
      </c>
      <c r="F15" s="4" t="str">
        <f t="shared" si="1"/>
        <v>1</v>
      </c>
      <c r="G15" s="4" t="str">
        <f t="shared" si="2"/>
        <v>24</v>
      </c>
      <c r="H15" s="2" t="s">
        <v>86</v>
      </c>
      <c r="I15" s="2" t="s">
        <v>87</v>
      </c>
      <c r="J15" s="2" t="s">
        <v>88</v>
      </c>
      <c r="K15" s="2" t="s">
        <v>89</v>
      </c>
      <c r="L15" s="2" t="s">
        <v>90</v>
      </c>
      <c r="M15" s="2" t="s">
        <v>17</v>
      </c>
    </row>
    <row r="16" spans="1:13" ht="50" x14ac:dyDescent="0.35">
      <c r="A16" s="3" t="s">
        <v>10</v>
      </c>
      <c r="B16" s="2" t="s">
        <v>91</v>
      </c>
      <c r="C16" s="2" t="s">
        <v>92</v>
      </c>
      <c r="D16" s="4" t="s">
        <v>93</v>
      </c>
      <c r="E16" s="4" t="str">
        <f t="shared" si="0"/>
        <v>4</v>
      </c>
      <c r="F16" s="4" t="str">
        <f t="shared" si="1"/>
        <v>1</v>
      </c>
      <c r="G16" s="4" t="str">
        <f t="shared" si="2"/>
        <v>25</v>
      </c>
      <c r="H16" s="2" t="s">
        <v>94</v>
      </c>
      <c r="I16" s="2" t="s">
        <v>95</v>
      </c>
      <c r="J16" s="2"/>
      <c r="K16" s="2"/>
      <c r="L16" s="2"/>
      <c r="M16" s="2" t="s">
        <v>23</v>
      </c>
    </row>
    <row r="17" spans="1:13" ht="100" x14ac:dyDescent="0.35">
      <c r="A17" s="3" t="s">
        <v>10</v>
      </c>
      <c r="B17" s="2" t="s">
        <v>96</v>
      </c>
      <c r="C17" s="2" t="s">
        <v>19</v>
      </c>
      <c r="D17" s="4" t="s">
        <v>97</v>
      </c>
      <c r="E17" s="4" t="str">
        <f t="shared" si="0"/>
        <v>24</v>
      </c>
      <c r="F17" s="4" t="str">
        <f t="shared" si="1"/>
        <v>1</v>
      </c>
      <c r="G17" s="4" t="str">
        <f t="shared" si="2"/>
        <v>25</v>
      </c>
      <c r="H17" s="2" t="s">
        <v>98</v>
      </c>
      <c r="I17" s="2" t="s">
        <v>99</v>
      </c>
      <c r="J17" s="2" t="s">
        <v>100</v>
      </c>
      <c r="K17" s="2" t="s">
        <v>101</v>
      </c>
      <c r="L17" s="2" t="s">
        <v>102</v>
      </c>
      <c r="M17" s="2" t="s">
        <v>17</v>
      </c>
    </row>
    <row r="18" spans="1:13" ht="50" x14ac:dyDescent="0.35">
      <c r="A18" s="3" t="s">
        <v>10</v>
      </c>
      <c r="B18" s="2" t="s">
        <v>103</v>
      </c>
      <c r="C18" s="2" t="s">
        <v>104</v>
      </c>
      <c r="D18" s="4" t="s">
        <v>105</v>
      </c>
      <c r="E18" s="4" t="str">
        <f t="shared" si="0"/>
        <v>15</v>
      </c>
      <c r="F18" s="4" t="str">
        <f t="shared" si="1"/>
        <v>2</v>
      </c>
      <c r="G18" s="4" t="str">
        <f t="shared" si="2"/>
        <v>25</v>
      </c>
      <c r="H18" s="2" t="s">
        <v>106</v>
      </c>
      <c r="I18" s="2" t="s">
        <v>107</v>
      </c>
      <c r="J18" s="2"/>
      <c r="K18" s="2"/>
      <c r="L18" s="2"/>
      <c r="M18" s="2" t="s">
        <v>23</v>
      </c>
    </row>
    <row r="19" spans="1:13" ht="37.5" x14ac:dyDescent="0.35">
      <c r="A19" s="3" t="s">
        <v>10</v>
      </c>
      <c r="B19" s="2" t="s">
        <v>108</v>
      </c>
      <c r="C19" s="2" t="s">
        <v>92</v>
      </c>
      <c r="D19" s="4" t="s">
        <v>109</v>
      </c>
      <c r="E19" s="4" t="str">
        <f t="shared" si="0"/>
        <v>10</v>
      </c>
      <c r="F19" s="4" t="str">
        <f t="shared" si="1"/>
        <v>3</v>
      </c>
      <c r="G19" s="4" t="str">
        <f t="shared" si="2"/>
        <v>25</v>
      </c>
      <c r="H19" s="2" t="s">
        <v>110</v>
      </c>
      <c r="I19" s="2" t="s">
        <v>111</v>
      </c>
      <c r="J19" s="2" t="s">
        <v>110</v>
      </c>
      <c r="K19" s="2" t="s">
        <v>112</v>
      </c>
      <c r="L19" s="2" t="s">
        <v>113</v>
      </c>
      <c r="M19" s="2" t="s">
        <v>17</v>
      </c>
    </row>
    <row r="20" spans="1:13" ht="25" x14ac:dyDescent="0.35">
      <c r="A20" s="3" t="s">
        <v>10</v>
      </c>
      <c r="B20" s="2" t="s">
        <v>114</v>
      </c>
      <c r="C20" s="2" t="s">
        <v>115</v>
      </c>
      <c r="D20" s="4" t="s">
        <v>116</v>
      </c>
      <c r="E20" s="4" t="str">
        <f t="shared" si="0"/>
        <v>21</v>
      </c>
      <c r="F20" s="4" t="str">
        <f t="shared" si="1"/>
        <v>3</v>
      </c>
      <c r="G20" s="4" t="str">
        <f t="shared" si="2"/>
        <v>25</v>
      </c>
      <c r="H20" s="2" t="s">
        <v>117</v>
      </c>
      <c r="I20" s="2" t="s">
        <v>118</v>
      </c>
      <c r="J20" s="2"/>
      <c r="K20" s="2"/>
      <c r="L20" s="2"/>
      <c r="M20" s="2" t="s">
        <v>23</v>
      </c>
    </row>
    <row r="21" spans="1:13" ht="62.5" x14ac:dyDescent="0.35">
      <c r="A21" s="3" t="s">
        <v>10</v>
      </c>
      <c r="B21" s="2" t="s">
        <v>119</v>
      </c>
      <c r="C21" s="2" t="s">
        <v>120</v>
      </c>
      <c r="D21" s="4" t="s">
        <v>121</v>
      </c>
      <c r="E21" s="4" t="str">
        <f t="shared" si="0"/>
        <v>1</v>
      </c>
      <c r="F21" s="4" t="str">
        <f t="shared" si="1"/>
        <v>4</v>
      </c>
      <c r="G21" s="4" t="str">
        <f t="shared" si="2"/>
        <v>25</v>
      </c>
      <c r="H21" s="2" t="s">
        <v>122</v>
      </c>
      <c r="I21" s="2" t="s">
        <v>123</v>
      </c>
      <c r="J21" s="2" t="s">
        <v>122</v>
      </c>
      <c r="K21" s="2" t="s">
        <v>124</v>
      </c>
      <c r="L21" s="2" t="s">
        <v>125</v>
      </c>
      <c r="M21" s="2" t="s">
        <v>17</v>
      </c>
    </row>
    <row r="22" spans="1:13" ht="25" x14ac:dyDescent="0.35">
      <c r="A22" s="3" t="s">
        <v>10</v>
      </c>
      <c r="B22" s="2" t="s">
        <v>126</v>
      </c>
      <c r="C22" s="2" t="s">
        <v>127</v>
      </c>
      <c r="D22" s="4" t="s">
        <v>128</v>
      </c>
      <c r="E22" s="4" t="str">
        <f t="shared" si="0"/>
        <v>4</v>
      </c>
      <c r="F22" s="4" t="str">
        <f t="shared" si="1"/>
        <v>4</v>
      </c>
      <c r="G22" s="4" t="str">
        <f t="shared" si="2"/>
        <v>25</v>
      </c>
      <c r="H22" s="2" t="s">
        <v>129</v>
      </c>
      <c r="I22" s="2" t="s">
        <v>130</v>
      </c>
      <c r="J22" s="2"/>
      <c r="K22" s="2"/>
      <c r="L22" s="2"/>
      <c r="M22" s="2" t="s">
        <v>23</v>
      </c>
    </row>
    <row r="23" spans="1:13" ht="37.5" x14ac:dyDescent="0.35">
      <c r="A23" s="3" t="s">
        <v>10</v>
      </c>
      <c r="B23" s="2" t="s">
        <v>131</v>
      </c>
      <c r="C23" s="2" t="s">
        <v>19</v>
      </c>
      <c r="D23" s="4" t="s">
        <v>132</v>
      </c>
      <c r="E23" s="4" t="str">
        <f t="shared" si="0"/>
        <v>13</v>
      </c>
      <c r="F23" s="4" t="str">
        <f t="shared" si="1"/>
        <v>4</v>
      </c>
      <c r="G23" s="4" t="str">
        <f t="shared" si="2"/>
        <v>25</v>
      </c>
      <c r="H23" s="2" t="s">
        <v>133</v>
      </c>
      <c r="I23" s="2" t="s">
        <v>134</v>
      </c>
      <c r="J23" s="2"/>
      <c r="K23" s="2"/>
      <c r="L23" s="2"/>
      <c r="M23" s="2" t="s">
        <v>23</v>
      </c>
    </row>
    <row r="24" spans="1:13" ht="37.5" x14ac:dyDescent="0.35">
      <c r="A24" s="3" t="s">
        <v>10</v>
      </c>
      <c r="B24" s="2" t="s">
        <v>135</v>
      </c>
      <c r="C24" s="2" t="s">
        <v>92</v>
      </c>
      <c r="D24" s="4" t="s">
        <v>136</v>
      </c>
      <c r="E24" s="4" t="str">
        <f t="shared" si="0"/>
        <v>13</v>
      </c>
      <c r="F24" s="4" t="str">
        <f t="shared" si="1"/>
        <v>4</v>
      </c>
      <c r="G24" s="4" t="str">
        <f t="shared" si="2"/>
        <v>25</v>
      </c>
      <c r="H24" s="2" t="s">
        <v>133</v>
      </c>
      <c r="I24" s="2" t="s">
        <v>137</v>
      </c>
      <c r="J24" s="2"/>
      <c r="K24" s="2"/>
      <c r="L24" s="2"/>
      <c r="M24" s="2" t="s">
        <v>23</v>
      </c>
    </row>
    <row r="25" spans="1:13" ht="25" x14ac:dyDescent="0.35">
      <c r="A25" s="3" t="s">
        <v>10</v>
      </c>
      <c r="B25" s="2" t="s">
        <v>138</v>
      </c>
      <c r="C25" s="2" t="s">
        <v>139</v>
      </c>
      <c r="D25" s="4" t="s">
        <v>140</v>
      </c>
      <c r="E25" s="4" t="str">
        <f t="shared" si="0"/>
        <v>13</v>
      </c>
      <c r="F25" s="4" t="str">
        <f t="shared" si="1"/>
        <v>4</v>
      </c>
      <c r="G25" s="4" t="str">
        <f t="shared" si="2"/>
        <v>25</v>
      </c>
      <c r="H25" s="2" t="s">
        <v>133</v>
      </c>
      <c r="I25" s="2" t="s">
        <v>141</v>
      </c>
      <c r="J25" s="2"/>
      <c r="K25" s="2"/>
      <c r="L25" s="2"/>
      <c r="M25" s="2" t="s">
        <v>23</v>
      </c>
    </row>
    <row r="26" spans="1:13" ht="25" x14ac:dyDescent="0.35">
      <c r="A26" s="3" t="s">
        <v>10</v>
      </c>
      <c r="B26" s="2" t="s">
        <v>142</v>
      </c>
      <c r="C26" s="2" t="s">
        <v>143</v>
      </c>
      <c r="D26" s="4" t="s">
        <v>144</v>
      </c>
      <c r="E26" s="4" t="str">
        <f t="shared" si="0"/>
        <v>16</v>
      </c>
      <c r="F26" s="4" t="str">
        <f t="shared" si="1"/>
        <v>4</v>
      </c>
      <c r="G26" s="4" t="str">
        <f t="shared" si="2"/>
        <v>25</v>
      </c>
      <c r="H26" s="2" t="s">
        <v>145</v>
      </c>
      <c r="I26" s="2" t="s">
        <v>146</v>
      </c>
      <c r="J26" s="2"/>
      <c r="K26" s="2"/>
      <c r="L26" s="2"/>
      <c r="M26" s="2" t="s">
        <v>23</v>
      </c>
    </row>
    <row r="27" spans="1:13" ht="37.5" x14ac:dyDescent="0.35">
      <c r="A27" s="3" t="s">
        <v>10</v>
      </c>
      <c r="B27" s="2" t="s">
        <v>147</v>
      </c>
      <c r="C27" s="2" t="s">
        <v>148</v>
      </c>
      <c r="D27" s="4" t="s">
        <v>149</v>
      </c>
      <c r="E27" s="4" t="str">
        <f t="shared" si="0"/>
        <v>20</v>
      </c>
      <c r="F27" s="4" t="str">
        <f t="shared" si="1"/>
        <v>4</v>
      </c>
      <c r="G27" s="4" t="str">
        <f t="shared" si="2"/>
        <v>25</v>
      </c>
      <c r="H27" s="2" t="s">
        <v>150</v>
      </c>
      <c r="I27" s="2" t="s">
        <v>151</v>
      </c>
      <c r="J27" s="2" t="s">
        <v>150</v>
      </c>
      <c r="K27" s="2" t="s">
        <v>152</v>
      </c>
      <c r="L27" s="2" t="s">
        <v>153</v>
      </c>
      <c r="M27" s="2" t="s">
        <v>17</v>
      </c>
    </row>
    <row r="28" spans="1:13" x14ac:dyDescent="0.35">
      <c r="A28" s="3" t="s">
        <v>10</v>
      </c>
      <c r="B28" s="2" t="s">
        <v>154</v>
      </c>
      <c r="C28" s="2" t="s">
        <v>92</v>
      </c>
      <c r="D28" s="4" t="s">
        <v>155</v>
      </c>
      <c r="E28" s="4" t="str">
        <f t="shared" si="0"/>
        <v>22</v>
      </c>
      <c r="F28" s="4" t="str">
        <f t="shared" si="1"/>
        <v>4</v>
      </c>
      <c r="G28" s="4" t="str">
        <f t="shared" si="2"/>
        <v>25</v>
      </c>
      <c r="H28" s="2" t="s">
        <v>156</v>
      </c>
      <c r="I28" s="2" t="s">
        <v>157</v>
      </c>
      <c r="J28" s="2" t="s">
        <v>158</v>
      </c>
      <c r="K28" s="2" t="s">
        <v>159</v>
      </c>
      <c r="L28" s="2" t="s">
        <v>160</v>
      </c>
      <c r="M28" s="2" t="s">
        <v>17</v>
      </c>
    </row>
    <row r="29" spans="1:13" ht="75" x14ac:dyDescent="0.35">
      <c r="A29" s="3" t="s">
        <v>10</v>
      </c>
      <c r="B29" s="2" t="s">
        <v>161</v>
      </c>
      <c r="C29" s="2" t="s">
        <v>25</v>
      </c>
      <c r="D29" s="4" t="s">
        <v>162</v>
      </c>
      <c r="E29" s="4" t="str">
        <f t="shared" si="0"/>
        <v>23</v>
      </c>
      <c r="F29" s="4" t="str">
        <f t="shared" si="1"/>
        <v>4</v>
      </c>
      <c r="G29" s="4" t="str">
        <f t="shared" si="2"/>
        <v>25</v>
      </c>
      <c r="H29" s="2" t="s">
        <v>158</v>
      </c>
      <c r="I29" s="2" t="s">
        <v>163</v>
      </c>
      <c r="J29" s="2" t="s">
        <v>164</v>
      </c>
      <c r="K29" s="2" t="s">
        <v>165</v>
      </c>
      <c r="L29" s="2" t="s">
        <v>166</v>
      </c>
      <c r="M29" s="2" t="s">
        <v>17</v>
      </c>
    </row>
    <row r="30" spans="1:13" ht="25" x14ac:dyDescent="0.35">
      <c r="A30" s="3" t="s">
        <v>10</v>
      </c>
      <c r="B30" s="2"/>
      <c r="C30" s="2" t="s">
        <v>167</v>
      </c>
      <c r="D30" s="4" t="s">
        <v>168</v>
      </c>
      <c r="E30" s="4" t="str">
        <f t="shared" si="0"/>
        <v>20</v>
      </c>
      <c r="F30" s="4" t="str">
        <f t="shared" si="1"/>
        <v>5</v>
      </c>
      <c r="G30" s="4" t="str">
        <f t="shared" si="2"/>
        <v>25</v>
      </c>
      <c r="H30" s="2" t="s">
        <v>169</v>
      </c>
      <c r="I30" s="2" t="s">
        <v>170</v>
      </c>
      <c r="J30" s="2"/>
      <c r="K30" s="2"/>
      <c r="L30" s="2"/>
      <c r="M30" s="2" t="s">
        <v>23</v>
      </c>
    </row>
    <row r="31" spans="1:13" ht="25" x14ac:dyDescent="0.35">
      <c r="A31" s="3" t="s">
        <v>10</v>
      </c>
      <c r="B31" s="2"/>
      <c r="C31" s="2" t="s">
        <v>171</v>
      </c>
      <c r="D31" s="4" t="s">
        <v>172</v>
      </c>
      <c r="E31" s="4" t="str">
        <f t="shared" si="0"/>
        <v>6</v>
      </c>
      <c r="F31" s="4" t="str">
        <f t="shared" si="1"/>
        <v>6</v>
      </c>
      <c r="G31" s="4" t="str">
        <f t="shared" si="2"/>
        <v>25</v>
      </c>
      <c r="H31" s="2" t="s">
        <v>173</v>
      </c>
      <c r="I31" s="2" t="s">
        <v>174</v>
      </c>
      <c r="J31" s="2"/>
      <c r="K31" s="2"/>
      <c r="L31" s="2"/>
      <c r="M31" s="2" t="s">
        <v>23</v>
      </c>
    </row>
    <row r="32" spans="1:13" ht="37.5" x14ac:dyDescent="0.35">
      <c r="A32" s="3" t="s">
        <v>10</v>
      </c>
      <c r="B32" s="2" t="s">
        <v>175</v>
      </c>
      <c r="C32" s="2" t="s">
        <v>176</v>
      </c>
      <c r="D32" s="4" t="s">
        <v>177</v>
      </c>
      <c r="E32" s="4" t="str">
        <f t="shared" si="0"/>
        <v>14</v>
      </c>
      <c r="F32" s="4" t="str">
        <f t="shared" si="1"/>
        <v>7</v>
      </c>
      <c r="G32" s="4" t="str">
        <f t="shared" si="2"/>
        <v>25</v>
      </c>
      <c r="H32" s="2" t="s">
        <v>178</v>
      </c>
      <c r="I32" s="2" t="s">
        <v>179</v>
      </c>
      <c r="J32" s="2" t="s">
        <v>180</v>
      </c>
      <c r="K32" s="2" t="s">
        <v>181</v>
      </c>
      <c r="L32" s="2" t="s">
        <v>182</v>
      </c>
      <c r="M32" s="2" t="s">
        <v>17</v>
      </c>
    </row>
    <row r="33" spans="1:13" ht="25" x14ac:dyDescent="0.35">
      <c r="A33" s="3" t="s">
        <v>10</v>
      </c>
      <c r="B33" s="2"/>
      <c r="C33" s="2" t="s">
        <v>92</v>
      </c>
      <c r="D33" s="4" t="s">
        <v>183</v>
      </c>
      <c r="E33" s="4" t="str">
        <f t="shared" si="0"/>
        <v>16</v>
      </c>
      <c r="F33" s="4" t="str">
        <f t="shared" si="1"/>
        <v>7</v>
      </c>
      <c r="G33" s="4" t="str">
        <f t="shared" si="2"/>
        <v>25</v>
      </c>
      <c r="H33" s="2" t="s">
        <v>184</v>
      </c>
      <c r="I33" s="2" t="s">
        <v>185</v>
      </c>
      <c r="J33" s="2" t="s">
        <v>184</v>
      </c>
      <c r="K33" s="2" t="s">
        <v>186</v>
      </c>
      <c r="L33" s="2" t="s">
        <v>187</v>
      </c>
      <c r="M33" s="2" t="s">
        <v>17</v>
      </c>
    </row>
    <row r="34" spans="1:13" ht="25" x14ac:dyDescent="0.35">
      <c r="A34" s="3" t="s">
        <v>10</v>
      </c>
      <c r="B34" s="2"/>
      <c r="C34" s="2" t="s">
        <v>70</v>
      </c>
      <c r="D34" s="4" t="s">
        <v>188</v>
      </c>
      <c r="E34" s="4" t="str">
        <f t="shared" si="0"/>
        <v>14</v>
      </c>
      <c r="F34" s="4" t="str">
        <f t="shared" si="1"/>
        <v>8</v>
      </c>
      <c r="G34" s="4" t="str">
        <f t="shared" si="2"/>
        <v>25</v>
      </c>
      <c r="H34" s="2" t="s">
        <v>189</v>
      </c>
      <c r="I34" s="2" t="s">
        <v>190</v>
      </c>
      <c r="J34" s="2" t="s">
        <v>189</v>
      </c>
      <c r="K34" s="2" t="s">
        <v>191</v>
      </c>
      <c r="L34" s="2" t="s">
        <v>192</v>
      </c>
      <c r="M34" s="2" t="s">
        <v>17</v>
      </c>
    </row>
    <row r="35" spans="1:13" ht="37.5" x14ac:dyDescent="0.35">
      <c r="A35" s="3" t="s">
        <v>10</v>
      </c>
      <c r="B35" s="2" t="s">
        <v>193</v>
      </c>
      <c r="C35" s="2" t="s">
        <v>92</v>
      </c>
      <c r="D35" s="4" t="s">
        <v>194</v>
      </c>
      <c r="E35" s="4" t="str">
        <f t="shared" si="0"/>
        <v>18</v>
      </c>
      <c r="F35" s="4" t="str">
        <f t="shared" si="1"/>
        <v>8</v>
      </c>
      <c r="G35" s="4" t="str">
        <f t="shared" si="2"/>
        <v>25</v>
      </c>
      <c r="H35" s="2" t="s">
        <v>195</v>
      </c>
      <c r="I35" s="2" t="s">
        <v>196</v>
      </c>
      <c r="J35" s="2" t="s">
        <v>195</v>
      </c>
      <c r="K35" s="2" t="s">
        <v>197</v>
      </c>
      <c r="L35" s="2" t="s">
        <v>57</v>
      </c>
      <c r="M35" s="2" t="s">
        <v>17</v>
      </c>
    </row>
    <row r="36" spans="1:13" ht="50" x14ac:dyDescent="0.35">
      <c r="A36" s="3" t="s">
        <v>10</v>
      </c>
      <c r="B36" s="2" t="s">
        <v>198</v>
      </c>
      <c r="C36" s="2" t="s">
        <v>92</v>
      </c>
      <c r="D36" s="4" t="s">
        <v>199</v>
      </c>
      <c r="E36" s="4" t="str">
        <f t="shared" si="0"/>
        <v>22</v>
      </c>
      <c r="F36" s="4" t="str">
        <f t="shared" si="1"/>
        <v>8</v>
      </c>
      <c r="G36" s="4" t="str">
        <f t="shared" si="2"/>
        <v>25</v>
      </c>
      <c r="H36" s="2" t="s">
        <v>200</v>
      </c>
      <c r="I36" s="2" t="s">
        <v>201</v>
      </c>
      <c r="J36" s="2"/>
      <c r="K36" s="2"/>
      <c r="L36" s="2"/>
      <c r="M36" s="2" t="s">
        <v>23</v>
      </c>
    </row>
    <row r="37" spans="1:13" ht="50" x14ac:dyDescent="0.35">
      <c r="A37" s="3" t="s">
        <v>10</v>
      </c>
      <c r="B37" s="2" t="s">
        <v>202</v>
      </c>
      <c r="C37" s="2" t="s">
        <v>25</v>
      </c>
      <c r="D37" s="4" t="s">
        <v>203</v>
      </c>
      <c r="E37" s="4" t="str">
        <f t="shared" si="0"/>
        <v>25</v>
      </c>
      <c r="F37" s="4" t="str">
        <f t="shared" si="1"/>
        <v>8</v>
      </c>
      <c r="G37" s="4" t="str">
        <f t="shared" si="2"/>
        <v>25</v>
      </c>
      <c r="H37" s="2" t="s">
        <v>204</v>
      </c>
      <c r="I37" s="2" t="s">
        <v>205</v>
      </c>
      <c r="J37" s="2" t="s">
        <v>204</v>
      </c>
      <c r="K37" s="2" t="s">
        <v>206</v>
      </c>
      <c r="L37" s="2" t="s">
        <v>207</v>
      </c>
      <c r="M37" s="2" t="s">
        <v>17</v>
      </c>
    </row>
    <row r="38" spans="1:13" x14ac:dyDescent="0.35">
      <c r="A38" s="3" t="s">
        <v>10</v>
      </c>
      <c r="B38" s="2" t="s">
        <v>208</v>
      </c>
      <c r="C38" s="2" t="s">
        <v>25</v>
      </c>
      <c r="D38" s="4" t="s">
        <v>209</v>
      </c>
      <c r="E38" s="4" t="str">
        <f t="shared" si="0"/>
        <v>16</v>
      </c>
      <c r="F38" s="4" t="str">
        <f t="shared" si="1"/>
        <v>9</v>
      </c>
      <c r="G38" s="4" t="str">
        <f t="shared" si="2"/>
        <v>25</v>
      </c>
      <c r="H38" s="2" t="s">
        <v>210</v>
      </c>
      <c r="I38" s="2" t="s">
        <v>211</v>
      </c>
      <c r="J38" s="2"/>
      <c r="K38" s="2"/>
      <c r="L38" s="2"/>
      <c r="M38" s="2" t="s">
        <v>23</v>
      </c>
    </row>
    <row r="39" spans="1:13" ht="37.5" x14ac:dyDescent="0.35">
      <c r="A39" s="3" t="s">
        <v>10</v>
      </c>
      <c r="B39" s="2" t="s">
        <v>212</v>
      </c>
      <c r="C39" s="2" t="s">
        <v>19</v>
      </c>
      <c r="D39" s="4" t="s">
        <v>213</v>
      </c>
      <c r="E39" s="4" t="str">
        <f t="shared" si="0"/>
        <v>1</v>
      </c>
      <c r="F39" s="4" t="str">
        <f t="shared" si="1"/>
        <v>1</v>
      </c>
      <c r="G39" s="4" t="str">
        <f t="shared" si="2"/>
        <v>25</v>
      </c>
      <c r="H39" s="2" t="s">
        <v>214</v>
      </c>
      <c r="I39" s="2" t="s">
        <v>215</v>
      </c>
      <c r="J39" s="2"/>
      <c r="K39" s="2"/>
      <c r="L39" s="2"/>
      <c r="M39" s="2" t="s">
        <v>23</v>
      </c>
    </row>
    <row r="40" spans="1:13" ht="25" x14ac:dyDescent="0.35">
      <c r="A40" s="3" t="s">
        <v>10</v>
      </c>
      <c r="B40" s="2" t="s">
        <v>216</v>
      </c>
      <c r="C40" s="2" t="s">
        <v>92</v>
      </c>
      <c r="D40" s="4" t="s">
        <v>217</v>
      </c>
      <c r="E40" s="4" t="str">
        <f t="shared" si="0"/>
        <v>10</v>
      </c>
      <c r="F40" s="4" t="str">
        <f t="shared" si="1"/>
        <v>1</v>
      </c>
      <c r="G40" s="4" t="str">
        <f t="shared" si="2"/>
        <v>25</v>
      </c>
      <c r="H40" s="2" t="s">
        <v>218</v>
      </c>
      <c r="I40" s="2" t="s">
        <v>219</v>
      </c>
      <c r="J40" s="2"/>
      <c r="K40" s="2"/>
      <c r="L40" s="2"/>
      <c r="M40" s="2" t="s">
        <v>23</v>
      </c>
    </row>
    <row r="41" spans="1:13" ht="25" x14ac:dyDescent="0.35">
      <c r="A41" s="3" t="s">
        <v>10</v>
      </c>
      <c r="B41" s="2" t="s">
        <v>220</v>
      </c>
      <c r="C41" s="2" t="s">
        <v>92</v>
      </c>
      <c r="D41" s="4" t="s">
        <v>221</v>
      </c>
      <c r="E41" s="4" t="str">
        <f t="shared" si="0"/>
        <v>15</v>
      </c>
      <c r="F41" s="4" t="str">
        <f t="shared" si="1"/>
        <v>1</v>
      </c>
      <c r="G41" s="4" t="str">
        <f t="shared" si="2"/>
        <v>25</v>
      </c>
      <c r="H41" s="2" t="s">
        <v>222</v>
      </c>
      <c r="I41" s="2" t="s">
        <v>223</v>
      </c>
      <c r="J41" s="2"/>
      <c r="K41" s="2"/>
      <c r="L41" s="2"/>
      <c r="M41" s="2" t="s">
        <v>23</v>
      </c>
    </row>
    <row r="42" spans="1:13" ht="37.5" x14ac:dyDescent="0.35">
      <c r="A42" s="3" t="s">
        <v>10</v>
      </c>
      <c r="B42" s="2"/>
      <c r="C42" s="2" t="s">
        <v>70</v>
      </c>
      <c r="D42" s="4" t="s">
        <v>224</v>
      </c>
      <c r="E42" s="4" t="str">
        <f t="shared" si="0"/>
        <v>29</v>
      </c>
      <c r="F42" s="4" t="str">
        <f t="shared" si="1"/>
        <v>1</v>
      </c>
      <c r="G42" s="4" t="str">
        <f t="shared" si="2"/>
        <v>25</v>
      </c>
      <c r="H42" s="2" t="s">
        <v>225</v>
      </c>
      <c r="I42" s="2" t="s">
        <v>226</v>
      </c>
      <c r="J42" s="2"/>
      <c r="K42" s="2"/>
      <c r="L42" s="2"/>
      <c r="M42" s="2" t="s">
        <v>23</v>
      </c>
    </row>
    <row r="43" spans="1:13" ht="25" x14ac:dyDescent="0.35">
      <c r="A43" s="3" t="s">
        <v>10</v>
      </c>
      <c r="B43" s="2" t="s">
        <v>227</v>
      </c>
      <c r="C43" s="2" t="s">
        <v>104</v>
      </c>
      <c r="D43" s="4" t="s">
        <v>228</v>
      </c>
      <c r="E43" s="4" t="str">
        <f t="shared" si="0"/>
        <v>1</v>
      </c>
      <c r="F43" s="4" t="str">
        <f t="shared" si="1"/>
        <v>1</v>
      </c>
      <c r="G43" s="4" t="str">
        <f t="shared" si="2"/>
        <v>25</v>
      </c>
      <c r="H43" s="2" t="s">
        <v>229</v>
      </c>
      <c r="I43" s="2" t="s">
        <v>230</v>
      </c>
      <c r="J43" s="2"/>
      <c r="K43" s="2"/>
      <c r="L43" s="2"/>
      <c r="M43" s="2" t="s">
        <v>23</v>
      </c>
    </row>
    <row r="44" spans="1:13" x14ac:dyDescent="0.35">
      <c r="A44" s="3" t="s">
        <v>10</v>
      </c>
      <c r="B44" s="2"/>
      <c r="C44" s="2" t="s">
        <v>231</v>
      </c>
      <c r="D44" s="4" t="s">
        <v>232</v>
      </c>
      <c r="E44" s="4" t="str">
        <f t="shared" si="0"/>
        <v>4</v>
      </c>
      <c r="F44" s="4" t="str">
        <f t="shared" si="1"/>
        <v>1</v>
      </c>
      <c r="G44" s="4" t="str">
        <f t="shared" si="2"/>
        <v>25</v>
      </c>
      <c r="H44" s="2" t="s">
        <v>233</v>
      </c>
      <c r="I44" s="2" t="s">
        <v>234</v>
      </c>
      <c r="J44" s="2" t="s">
        <v>233</v>
      </c>
      <c r="K44" s="2" t="s">
        <v>235</v>
      </c>
      <c r="L44" s="2" t="s">
        <v>236</v>
      </c>
      <c r="M44" s="2" t="s">
        <v>17</v>
      </c>
    </row>
    <row r="45" spans="1:13" ht="37.5" x14ac:dyDescent="0.35">
      <c r="A45" s="3" t="s">
        <v>10</v>
      </c>
      <c r="B45" s="2" t="s">
        <v>237</v>
      </c>
      <c r="C45" s="2" t="s">
        <v>92</v>
      </c>
      <c r="D45" s="4" t="s">
        <v>238</v>
      </c>
      <c r="E45" s="4" t="str">
        <f t="shared" si="0"/>
        <v>14</v>
      </c>
      <c r="F45" s="4" t="str">
        <f t="shared" si="1"/>
        <v>1</v>
      </c>
      <c r="G45" s="4" t="str">
        <f t="shared" si="2"/>
        <v>25</v>
      </c>
      <c r="H45" s="2" t="s">
        <v>239</v>
      </c>
      <c r="I45" s="2" t="s">
        <v>240</v>
      </c>
      <c r="J45" s="2" t="s">
        <v>239</v>
      </c>
      <c r="K45" s="2" t="s">
        <v>241</v>
      </c>
      <c r="L45" s="2" t="s">
        <v>242</v>
      </c>
      <c r="M45" s="2" t="s">
        <v>17</v>
      </c>
    </row>
    <row r="46" spans="1:13" ht="37.5" x14ac:dyDescent="0.35">
      <c r="A46" s="3" t="s">
        <v>10</v>
      </c>
      <c r="B46" s="2" t="s">
        <v>243</v>
      </c>
      <c r="C46" s="2" t="s">
        <v>52</v>
      </c>
      <c r="D46" s="4" t="s">
        <v>244</v>
      </c>
      <c r="E46" s="4" t="str">
        <f t="shared" si="0"/>
        <v>15</v>
      </c>
      <c r="F46" s="4" t="str">
        <f t="shared" si="1"/>
        <v>1</v>
      </c>
      <c r="G46" s="4" t="str">
        <f t="shared" si="2"/>
        <v>25</v>
      </c>
      <c r="H46" s="2" t="s">
        <v>245</v>
      </c>
      <c r="I46" s="2" t="s">
        <v>246</v>
      </c>
      <c r="J46" s="2" t="s">
        <v>245</v>
      </c>
      <c r="K46" s="2" t="s">
        <v>247</v>
      </c>
      <c r="L46" s="2" t="s">
        <v>248</v>
      </c>
      <c r="M46" s="2" t="s">
        <v>17</v>
      </c>
    </row>
    <row r="47" spans="1:13" ht="25" x14ac:dyDescent="0.35">
      <c r="A47" s="3" t="s">
        <v>10</v>
      </c>
      <c r="B47" s="2" t="s">
        <v>249</v>
      </c>
      <c r="C47" s="2" t="s">
        <v>250</v>
      </c>
      <c r="D47" s="4" t="s">
        <v>251</v>
      </c>
      <c r="E47" s="4" t="str">
        <f t="shared" si="0"/>
        <v>10</v>
      </c>
      <c r="F47" s="4" t="str">
        <f t="shared" si="1"/>
        <v>1</v>
      </c>
      <c r="G47" s="4" t="str">
        <f t="shared" si="2"/>
        <v>25</v>
      </c>
      <c r="H47" s="2" t="s">
        <v>252</v>
      </c>
      <c r="I47" s="2" t="s">
        <v>253</v>
      </c>
      <c r="J47" s="2" t="s">
        <v>252</v>
      </c>
      <c r="K47" s="2" t="s">
        <v>254</v>
      </c>
      <c r="L47" s="2" t="s">
        <v>255</v>
      </c>
      <c r="M47" s="2" t="s">
        <v>17</v>
      </c>
    </row>
    <row r="48" spans="1:13" ht="37.5" x14ac:dyDescent="0.35">
      <c r="A48" s="3" t="s">
        <v>10</v>
      </c>
      <c r="B48" s="2" t="s">
        <v>256</v>
      </c>
      <c r="C48" s="2" t="s">
        <v>257</v>
      </c>
      <c r="D48" s="4" t="s">
        <v>258</v>
      </c>
      <c r="E48" s="4" t="str">
        <f t="shared" si="0"/>
        <v>5</v>
      </c>
      <c r="F48" s="4" t="str">
        <f t="shared" si="1"/>
        <v>1</v>
      </c>
      <c r="G48" s="4" t="str">
        <f t="shared" si="2"/>
        <v>26</v>
      </c>
      <c r="H48" s="2" t="s">
        <v>259</v>
      </c>
      <c r="I48" s="2" t="s">
        <v>260</v>
      </c>
      <c r="J48" s="2" t="s">
        <v>261</v>
      </c>
      <c r="K48" s="2" t="s">
        <v>262</v>
      </c>
      <c r="L48" s="2" t="s">
        <v>263</v>
      </c>
      <c r="M48" s="2" t="s">
        <v>17</v>
      </c>
    </row>
    <row r="49" spans="1:13" ht="37.5" x14ac:dyDescent="0.35">
      <c r="A49" s="3" t="s">
        <v>10</v>
      </c>
      <c r="B49" s="2" t="s">
        <v>264</v>
      </c>
      <c r="C49" s="2" t="s">
        <v>19</v>
      </c>
      <c r="D49" s="4" t="s">
        <v>265</v>
      </c>
      <c r="E49" s="4" t="str">
        <f t="shared" si="0"/>
        <v>20</v>
      </c>
      <c r="F49" s="4" t="str">
        <f t="shared" si="1"/>
        <v>1</v>
      </c>
      <c r="G49" s="4" t="str">
        <f t="shared" si="2"/>
        <v>26</v>
      </c>
      <c r="H49" s="2" t="s">
        <v>266</v>
      </c>
      <c r="I49" s="2" t="s">
        <v>267</v>
      </c>
      <c r="J49" s="2"/>
      <c r="K49" s="2"/>
      <c r="L49" s="2"/>
      <c r="M49" s="2" t="s">
        <v>23</v>
      </c>
    </row>
    <row r="50" spans="1:13" ht="37.5" x14ac:dyDescent="0.35">
      <c r="A50" s="3" t="s">
        <v>10</v>
      </c>
      <c r="B50" s="2" t="s">
        <v>268</v>
      </c>
      <c r="C50" s="2" t="s">
        <v>269</v>
      </c>
      <c r="D50" s="4" t="s">
        <v>270</v>
      </c>
      <c r="E50" s="4" t="str">
        <f t="shared" si="0"/>
        <v>24</v>
      </c>
      <c r="F50" s="4" t="str">
        <f t="shared" si="1"/>
        <v>2</v>
      </c>
      <c r="G50" s="4" t="str">
        <f t="shared" si="2"/>
        <v>26</v>
      </c>
      <c r="H50" s="2" t="s">
        <v>271</v>
      </c>
      <c r="I50" s="2" t="s">
        <v>272</v>
      </c>
      <c r="J50" s="2" t="s">
        <v>271</v>
      </c>
      <c r="K50" s="2" t="s">
        <v>273</v>
      </c>
      <c r="L50" s="2" t="s">
        <v>274</v>
      </c>
      <c r="M50" s="2" t="s">
        <v>17</v>
      </c>
    </row>
    <row r="51" spans="1:13" ht="37.5" x14ac:dyDescent="0.35">
      <c r="A51" s="3" t="s">
        <v>10</v>
      </c>
      <c r="B51" s="2" t="s">
        <v>275</v>
      </c>
      <c r="C51" s="2" t="s">
        <v>19</v>
      </c>
      <c r="D51" s="4" t="s">
        <v>276</v>
      </c>
      <c r="E51" s="4" t="str">
        <f t="shared" si="0"/>
        <v>24</v>
      </c>
      <c r="F51" s="4" t="str">
        <f t="shared" si="1"/>
        <v>2</v>
      </c>
      <c r="G51" s="4" t="str">
        <f t="shared" si="2"/>
        <v>26</v>
      </c>
      <c r="H51" s="2" t="s">
        <v>271</v>
      </c>
      <c r="I51" s="2" t="s">
        <v>277</v>
      </c>
      <c r="J51" s="2"/>
      <c r="K51" s="2"/>
      <c r="L51" s="2"/>
      <c r="M51" s="2" t="s">
        <v>23</v>
      </c>
    </row>
    <row r="52" spans="1:13" ht="50" x14ac:dyDescent="0.35">
      <c r="A52" s="3" t="s">
        <v>10</v>
      </c>
      <c r="B52" s="2" t="s">
        <v>278</v>
      </c>
      <c r="C52" s="2" t="s">
        <v>279</v>
      </c>
      <c r="D52" s="4" t="s">
        <v>280</v>
      </c>
      <c r="E52" s="4" t="str">
        <f t="shared" si="0"/>
        <v>2</v>
      </c>
      <c r="F52" s="4" t="str">
        <f t="shared" si="1"/>
        <v>3</v>
      </c>
      <c r="G52" s="4" t="str">
        <f t="shared" si="2"/>
        <v>26</v>
      </c>
      <c r="H52" s="2" t="s">
        <v>281</v>
      </c>
      <c r="I52" s="2" t="s">
        <v>282</v>
      </c>
      <c r="J52" s="2"/>
      <c r="K52" s="2"/>
      <c r="L52" s="2"/>
      <c r="M52" s="2" t="s">
        <v>23</v>
      </c>
    </row>
    <row r="53" spans="1:13" ht="37.5" x14ac:dyDescent="0.35">
      <c r="A53" s="3" t="s">
        <v>10</v>
      </c>
      <c r="B53" s="2"/>
      <c r="C53" s="2" t="s">
        <v>283</v>
      </c>
      <c r="D53" s="4" t="s">
        <v>284</v>
      </c>
      <c r="E53" s="4" t="str">
        <f t="shared" si="0"/>
        <v>4</v>
      </c>
      <c r="F53" s="4" t="str">
        <f t="shared" si="1"/>
        <v>3</v>
      </c>
      <c r="G53" s="4" t="str">
        <f t="shared" si="2"/>
        <v>26</v>
      </c>
      <c r="H53" s="2" t="s">
        <v>285</v>
      </c>
      <c r="I53" s="2" t="s">
        <v>286</v>
      </c>
      <c r="J53" s="2"/>
      <c r="K53" s="2"/>
      <c r="L53" s="2"/>
      <c r="M53" s="2" t="s">
        <v>23</v>
      </c>
    </row>
    <row r="54" spans="1:13" ht="37.5" x14ac:dyDescent="0.35">
      <c r="A54" s="3" t="s">
        <v>10</v>
      </c>
      <c r="B54" s="2" t="s">
        <v>287</v>
      </c>
      <c r="C54" s="2" t="s">
        <v>25</v>
      </c>
      <c r="D54" s="4" t="s">
        <v>288</v>
      </c>
      <c r="E54" s="4" t="str">
        <f t="shared" si="0"/>
        <v>30</v>
      </c>
      <c r="F54" s="4" t="str">
        <f t="shared" si="1"/>
        <v>3</v>
      </c>
      <c r="G54" s="4" t="str">
        <f t="shared" si="2"/>
        <v>26</v>
      </c>
      <c r="H54" s="2" t="s">
        <v>289</v>
      </c>
      <c r="I54" s="2" t="s">
        <v>290</v>
      </c>
      <c r="J54" s="2" t="s">
        <v>291</v>
      </c>
      <c r="K54" s="2" t="s">
        <v>292</v>
      </c>
      <c r="L54" s="2" t="s">
        <v>293</v>
      </c>
      <c r="M54" s="2" t="s">
        <v>17</v>
      </c>
    </row>
    <row r="55" spans="1:13" ht="25" x14ac:dyDescent="0.35">
      <c r="A55" s="3" t="s">
        <v>10</v>
      </c>
      <c r="B55" s="2" t="s">
        <v>294</v>
      </c>
      <c r="C55" s="2" t="s">
        <v>295</v>
      </c>
      <c r="D55" s="4" t="s">
        <v>296</v>
      </c>
      <c r="E55" s="4" t="str">
        <f t="shared" si="0"/>
        <v>6</v>
      </c>
      <c r="F55" s="4" t="str">
        <f t="shared" si="1"/>
        <v>4</v>
      </c>
      <c r="G55" s="4" t="str">
        <f t="shared" si="2"/>
        <v>26</v>
      </c>
      <c r="H55" s="2" t="s">
        <v>297</v>
      </c>
      <c r="I55" s="2" t="s">
        <v>298</v>
      </c>
      <c r="J55" s="2" t="s">
        <v>297</v>
      </c>
      <c r="K55" s="2" t="s">
        <v>299</v>
      </c>
      <c r="L55" s="2" t="s">
        <v>300</v>
      </c>
      <c r="M55" s="2" t="s">
        <v>17</v>
      </c>
    </row>
    <row r="56" spans="1:13" ht="50" x14ac:dyDescent="0.35">
      <c r="A56" s="3" t="s">
        <v>10</v>
      </c>
      <c r="B56" s="2" t="s">
        <v>301</v>
      </c>
      <c r="C56" s="2" t="s">
        <v>302</v>
      </c>
      <c r="D56" s="4" t="s">
        <v>303</v>
      </c>
      <c r="E56" s="4" t="str">
        <f t="shared" si="0"/>
        <v>19</v>
      </c>
      <c r="F56" s="4" t="str">
        <f t="shared" si="1"/>
        <v>4</v>
      </c>
      <c r="G56" s="4" t="str">
        <f t="shared" si="2"/>
        <v>26</v>
      </c>
      <c r="H56" s="2" t="s">
        <v>304</v>
      </c>
      <c r="I56" s="2" t="s">
        <v>305</v>
      </c>
      <c r="J56" s="2" t="s">
        <v>304</v>
      </c>
      <c r="K56" s="2" t="s">
        <v>306</v>
      </c>
      <c r="L56" s="2" t="s">
        <v>113</v>
      </c>
      <c r="M56" s="2" t="s">
        <v>17</v>
      </c>
    </row>
    <row r="57" spans="1:13" ht="37.5" x14ac:dyDescent="0.35">
      <c r="A57" s="3" t="s">
        <v>10</v>
      </c>
      <c r="B57" s="2" t="s">
        <v>307</v>
      </c>
      <c r="C57" s="2" t="s">
        <v>308</v>
      </c>
      <c r="D57" s="4" t="s">
        <v>309</v>
      </c>
      <c r="E57" s="4" t="str">
        <f t="shared" si="0"/>
        <v>9</v>
      </c>
      <c r="F57" s="4" t="str">
        <f t="shared" si="1"/>
        <v>5</v>
      </c>
      <c r="G57" s="4" t="str">
        <f t="shared" si="2"/>
        <v>26</v>
      </c>
      <c r="H57" s="2" t="s">
        <v>310</v>
      </c>
      <c r="I57" s="2" t="s">
        <v>311</v>
      </c>
      <c r="J57" s="2"/>
      <c r="K57" s="2"/>
      <c r="L57" s="2"/>
      <c r="M57" s="2" t="s">
        <v>23</v>
      </c>
    </row>
    <row r="58" spans="1:13" ht="37.5" x14ac:dyDescent="0.35">
      <c r="A58" s="3" t="s">
        <v>10</v>
      </c>
      <c r="B58" s="2" t="s">
        <v>312</v>
      </c>
      <c r="C58" s="2" t="s">
        <v>313</v>
      </c>
      <c r="D58" s="4" t="s">
        <v>314</v>
      </c>
      <c r="E58" s="4" t="str">
        <f t="shared" si="0"/>
        <v>13</v>
      </c>
      <c r="F58" s="4" t="str">
        <f t="shared" si="1"/>
        <v>5</v>
      </c>
      <c r="G58" s="4" t="str">
        <f t="shared" si="2"/>
        <v>26</v>
      </c>
      <c r="H58" s="2" t="s">
        <v>315</v>
      </c>
      <c r="I58" s="2" t="s">
        <v>62</v>
      </c>
      <c r="J58" s="2" t="s">
        <v>316</v>
      </c>
      <c r="K58" s="2" t="s">
        <v>317</v>
      </c>
      <c r="L58" s="2" t="s">
        <v>318</v>
      </c>
      <c r="M58" s="2" t="s">
        <v>17</v>
      </c>
    </row>
    <row r="59" spans="1:13" ht="25" x14ac:dyDescent="0.35">
      <c r="A59" s="3" t="s">
        <v>10</v>
      </c>
      <c r="B59" s="2" t="s">
        <v>319</v>
      </c>
      <c r="C59" s="2" t="s">
        <v>92</v>
      </c>
      <c r="D59" s="4" t="s">
        <v>320</v>
      </c>
      <c r="E59" s="4" t="str">
        <f t="shared" si="0"/>
        <v>21</v>
      </c>
      <c r="F59" s="4" t="str">
        <f t="shared" si="1"/>
        <v>5</v>
      </c>
      <c r="G59" s="4" t="str">
        <f t="shared" si="2"/>
        <v>26</v>
      </c>
      <c r="H59" s="2" t="s">
        <v>321</v>
      </c>
      <c r="I59" s="2" t="s">
        <v>322</v>
      </c>
      <c r="J59" s="2"/>
      <c r="K59" s="2"/>
      <c r="L59" s="2"/>
      <c r="M59" s="2" t="s">
        <v>23</v>
      </c>
    </row>
    <row r="60" spans="1:13" x14ac:dyDescent="0.35">
      <c r="A60" s="3" t="s">
        <v>10</v>
      </c>
      <c r="B60" s="2"/>
      <c r="C60" s="2" t="s">
        <v>323</v>
      </c>
      <c r="D60" s="4" t="s">
        <v>324</v>
      </c>
      <c r="E60" s="4" t="str">
        <f t="shared" si="0"/>
        <v>11</v>
      </c>
      <c r="F60" s="4" t="str">
        <f t="shared" si="1"/>
        <v>6</v>
      </c>
      <c r="G60" s="4" t="str">
        <f t="shared" si="2"/>
        <v>26</v>
      </c>
      <c r="H60" s="2" t="s">
        <v>325</v>
      </c>
      <c r="I60" s="2" t="s">
        <v>326</v>
      </c>
      <c r="J60" s="2"/>
      <c r="K60" s="2"/>
      <c r="L60" s="2"/>
      <c r="M60" s="2" t="s">
        <v>23</v>
      </c>
    </row>
    <row r="61" spans="1:13" x14ac:dyDescent="0.35">
      <c r="A61" s="3" t="s">
        <v>10</v>
      </c>
      <c r="B61" s="2"/>
      <c r="C61" s="2" t="s">
        <v>327</v>
      </c>
      <c r="D61" s="4" t="s">
        <v>328</v>
      </c>
      <c r="E61" s="4" t="str">
        <f t="shared" si="0"/>
        <v>17</v>
      </c>
      <c r="F61" s="4" t="str">
        <f t="shared" si="1"/>
        <v>6</v>
      </c>
      <c r="G61" s="4" t="str">
        <f t="shared" si="2"/>
        <v>26</v>
      </c>
      <c r="H61" s="2" t="s">
        <v>329</v>
      </c>
      <c r="I61" s="2" t="s">
        <v>330</v>
      </c>
      <c r="J61" s="2" t="s">
        <v>329</v>
      </c>
      <c r="K61" s="2" t="s">
        <v>331</v>
      </c>
      <c r="L61" s="2" t="s">
        <v>332</v>
      </c>
      <c r="M61" s="2" t="s">
        <v>17</v>
      </c>
    </row>
    <row r="62" spans="1:13" ht="37.5" x14ac:dyDescent="0.35">
      <c r="A62" s="3" t="s">
        <v>10</v>
      </c>
      <c r="B62" s="2"/>
      <c r="C62" s="2" t="s">
        <v>333</v>
      </c>
      <c r="D62" s="4" t="s">
        <v>334</v>
      </c>
      <c r="E62" s="4" t="str">
        <f t="shared" si="0"/>
        <v>18</v>
      </c>
      <c r="F62" s="4" t="str">
        <f t="shared" si="1"/>
        <v>6</v>
      </c>
      <c r="G62" s="4" t="str">
        <f t="shared" si="2"/>
        <v>26</v>
      </c>
      <c r="H62" s="2" t="s">
        <v>335</v>
      </c>
      <c r="I62" s="2" t="s">
        <v>336</v>
      </c>
      <c r="J62" s="2"/>
      <c r="K62" s="2"/>
      <c r="L62" s="2"/>
      <c r="M62" s="2" t="s">
        <v>23</v>
      </c>
    </row>
    <row r="63" spans="1:13" ht="25" x14ac:dyDescent="0.35">
      <c r="A63" s="3" t="s">
        <v>10</v>
      </c>
      <c r="B63" s="2" t="s">
        <v>337</v>
      </c>
      <c r="C63" s="2" t="s">
        <v>338</v>
      </c>
      <c r="D63" s="4" t="s">
        <v>339</v>
      </c>
      <c r="E63" s="4" t="str">
        <f t="shared" si="0"/>
        <v>13</v>
      </c>
      <c r="F63" s="4" t="str">
        <f t="shared" si="1"/>
        <v>7</v>
      </c>
      <c r="G63" s="4" t="str">
        <f t="shared" si="2"/>
        <v>26</v>
      </c>
      <c r="H63" s="2" t="s">
        <v>340</v>
      </c>
      <c r="I63" s="2" t="s">
        <v>341</v>
      </c>
      <c r="J63" s="2"/>
      <c r="K63" s="2"/>
      <c r="L63" s="2"/>
      <c r="M63" s="2" t="s">
        <v>23</v>
      </c>
    </row>
    <row r="64" spans="1:13" ht="37.5" x14ac:dyDescent="0.35">
      <c r="A64" s="3" t="s">
        <v>10</v>
      </c>
      <c r="B64" s="2" t="s">
        <v>342</v>
      </c>
      <c r="C64" s="2" t="s">
        <v>171</v>
      </c>
      <c r="D64" s="4" t="s">
        <v>343</v>
      </c>
      <c r="E64" s="4" t="str">
        <f t="shared" si="0"/>
        <v>13</v>
      </c>
      <c r="F64" s="4" t="str">
        <f t="shared" si="1"/>
        <v>7</v>
      </c>
      <c r="G64" s="4" t="str">
        <f t="shared" si="2"/>
        <v>26</v>
      </c>
      <c r="H64" s="2" t="s">
        <v>340</v>
      </c>
      <c r="I64" s="2" t="s">
        <v>344</v>
      </c>
      <c r="J64" s="2"/>
      <c r="K64" s="2"/>
      <c r="L64" s="2"/>
      <c r="M64" s="2" t="s">
        <v>23</v>
      </c>
    </row>
    <row r="65" spans="1:13" ht="25" x14ac:dyDescent="0.35">
      <c r="A65" s="3" t="s">
        <v>10</v>
      </c>
      <c r="B65" s="2"/>
      <c r="C65" s="2" t="s">
        <v>70</v>
      </c>
      <c r="D65" s="4" t="s">
        <v>345</v>
      </c>
      <c r="E65" s="4" t="str">
        <f t="shared" si="0"/>
        <v>20</v>
      </c>
      <c r="F65" s="4" t="str">
        <f t="shared" si="1"/>
        <v>7</v>
      </c>
      <c r="G65" s="4" t="str">
        <f t="shared" si="2"/>
        <v>26</v>
      </c>
      <c r="H65" s="2" t="s">
        <v>346</v>
      </c>
      <c r="I65" s="2" t="s">
        <v>347</v>
      </c>
      <c r="J65" s="2" t="s">
        <v>346</v>
      </c>
      <c r="K65" s="2" t="s">
        <v>348</v>
      </c>
      <c r="L65" s="2" t="s">
        <v>236</v>
      </c>
      <c r="M65" s="2" t="s">
        <v>17</v>
      </c>
    </row>
    <row r="66" spans="1:13" ht="37.5" x14ac:dyDescent="0.35">
      <c r="A66" s="3" t="s">
        <v>10</v>
      </c>
      <c r="B66" s="2" t="s">
        <v>349</v>
      </c>
      <c r="C66" s="2" t="s">
        <v>350</v>
      </c>
      <c r="D66" s="4" t="s">
        <v>351</v>
      </c>
      <c r="E66" s="4" t="str">
        <f t="shared" si="0"/>
        <v>22</v>
      </c>
      <c r="F66" s="4" t="str">
        <f t="shared" si="1"/>
        <v>7</v>
      </c>
      <c r="G66" s="4" t="str">
        <f t="shared" si="2"/>
        <v>26</v>
      </c>
      <c r="H66" s="2" t="s">
        <v>352</v>
      </c>
      <c r="I66" s="2" t="s">
        <v>353</v>
      </c>
      <c r="J66" s="2" t="s">
        <v>352</v>
      </c>
      <c r="K66" s="2" t="s">
        <v>354</v>
      </c>
      <c r="L66" s="2" t="s">
        <v>355</v>
      </c>
      <c r="M66" s="2" t="s">
        <v>17</v>
      </c>
    </row>
    <row r="67" spans="1:13" ht="50" x14ac:dyDescent="0.35">
      <c r="A67" s="3" t="s">
        <v>10</v>
      </c>
      <c r="B67" s="2" t="s">
        <v>356</v>
      </c>
      <c r="C67" s="2" t="s">
        <v>357</v>
      </c>
      <c r="D67" s="4" t="s">
        <v>358</v>
      </c>
      <c r="E67" s="4" t="str">
        <f t="shared" ref="E67:E115" si="3">MID(H67,SEARCH("/",H67)+1,SEARCH("/",H67,SEARCH("/",H67)+1)-SEARCH("/",H67)-1)</f>
        <v>29</v>
      </c>
      <c r="F67" s="4" t="str">
        <f t="shared" ref="F67:F115" si="4">LEFT(H67,1)</f>
        <v>7</v>
      </c>
      <c r="G67" s="4" t="str">
        <f t="shared" ref="G67:G115" si="5">RIGHT(H67,2)</f>
        <v>26</v>
      </c>
      <c r="H67" s="2" t="s">
        <v>359</v>
      </c>
      <c r="I67" s="2" t="s">
        <v>360</v>
      </c>
      <c r="J67" s="2" t="s">
        <v>359</v>
      </c>
      <c r="K67" s="2" t="s">
        <v>361</v>
      </c>
      <c r="L67" s="2" t="s">
        <v>362</v>
      </c>
      <c r="M67" s="2" t="s">
        <v>17</v>
      </c>
    </row>
    <row r="68" spans="1:13" ht="37.5" x14ac:dyDescent="0.35">
      <c r="A68" s="3" t="s">
        <v>10</v>
      </c>
      <c r="B68" s="2" t="s">
        <v>363</v>
      </c>
      <c r="C68" s="2" t="s">
        <v>364</v>
      </c>
      <c r="D68" s="4" t="s">
        <v>365</v>
      </c>
      <c r="E68" s="4" t="str">
        <f t="shared" si="3"/>
        <v>2</v>
      </c>
      <c r="F68" s="4" t="str">
        <f t="shared" si="4"/>
        <v>8</v>
      </c>
      <c r="G68" s="4" t="str">
        <f t="shared" si="5"/>
        <v>26</v>
      </c>
      <c r="H68" s="2" t="s">
        <v>366</v>
      </c>
      <c r="I68" s="2" t="s">
        <v>367</v>
      </c>
      <c r="J68" s="2"/>
      <c r="K68" s="2"/>
      <c r="L68" s="2"/>
      <c r="M68" s="2" t="s">
        <v>23</v>
      </c>
    </row>
    <row r="69" spans="1:13" ht="37.5" x14ac:dyDescent="0.35">
      <c r="A69" s="3" t="s">
        <v>10</v>
      </c>
      <c r="B69" s="2" t="s">
        <v>368</v>
      </c>
      <c r="C69" s="2" t="s">
        <v>171</v>
      </c>
      <c r="D69" s="4" t="s">
        <v>369</v>
      </c>
      <c r="E69" s="4" t="str">
        <f t="shared" si="3"/>
        <v>12</v>
      </c>
      <c r="F69" s="4" t="str">
        <f t="shared" si="4"/>
        <v>8</v>
      </c>
      <c r="G69" s="4" t="str">
        <f t="shared" si="5"/>
        <v>26</v>
      </c>
      <c r="H69" s="2" t="s">
        <v>370</v>
      </c>
      <c r="I69" s="2" t="s">
        <v>371</v>
      </c>
      <c r="J69" s="2"/>
      <c r="K69" s="2"/>
      <c r="L69" s="2"/>
      <c r="M69" s="2" t="s">
        <v>23</v>
      </c>
    </row>
    <row r="70" spans="1:13" ht="50" x14ac:dyDescent="0.35">
      <c r="A70" s="3" t="s">
        <v>10</v>
      </c>
      <c r="B70" s="2" t="s">
        <v>372</v>
      </c>
      <c r="C70" s="2" t="s">
        <v>19</v>
      </c>
      <c r="D70" s="4" t="s">
        <v>373</v>
      </c>
      <c r="E70" s="4" t="str">
        <f t="shared" si="3"/>
        <v>19</v>
      </c>
      <c r="F70" s="4" t="str">
        <f t="shared" si="4"/>
        <v>8</v>
      </c>
      <c r="G70" s="4" t="str">
        <f t="shared" si="5"/>
        <v>26</v>
      </c>
      <c r="H70" s="2" t="s">
        <v>374</v>
      </c>
      <c r="I70" s="2" t="s">
        <v>375</v>
      </c>
      <c r="J70" s="2" t="s">
        <v>376</v>
      </c>
      <c r="K70" s="2" t="s">
        <v>377</v>
      </c>
      <c r="L70" s="2" t="s">
        <v>378</v>
      </c>
      <c r="M70" s="2" t="s">
        <v>17</v>
      </c>
    </row>
    <row r="71" spans="1:13" ht="37.5" x14ac:dyDescent="0.35">
      <c r="A71" s="3" t="s">
        <v>10</v>
      </c>
      <c r="B71" s="2" t="s">
        <v>379</v>
      </c>
      <c r="C71" s="2" t="s">
        <v>25</v>
      </c>
      <c r="D71" s="4" t="s">
        <v>380</v>
      </c>
      <c r="E71" s="4" t="str">
        <f t="shared" si="3"/>
        <v>19</v>
      </c>
      <c r="F71" s="4" t="str">
        <f t="shared" si="4"/>
        <v>8</v>
      </c>
      <c r="G71" s="4" t="str">
        <f t="shared" si="5"/>
        <v>26</v>
      </c>
      <c r="H71" s="2" t="s">
        <v>374</v>
      </c>
      <c r="I71" s="2" t="s">
        <v>381</v>
      </c>
      <c r="J71" s="2" t="s">
        <v>376</v>
      </c>
      <c r="K71" s="2" t="s">
        <v>377</v>
      </c>
      <c r="L71" s="2" t="s">
        <v>160</v>
      </c>
      <c r="M71" s="2" t="s">
        <v>17</v>
      </c>
    </row>
    <row r="72" spans="1:13" ht="25" x14ac:dyDescent="0.35">
      <c r="A72" s="3" t="s">
        <v>10</v>
      </c>
      <c r="B72" s="2" t="s">
        <v>382</v>
      </c>
      <c r="C72" s="2" t="s">
        <v>383</v>
      </c>
      <c r="D72" s="4" t="s">
        <v>384</v>
      </c>
      <c r="E72" s="4" t="str">
        <f t="shared" si="3"/>
        <v>20</v>
      </c>
      <c r="F72" s="4" t="str">
        <f t="shared" si="4"/>
        <v>8</v>
      </c>
      <c r="G72" s="4" t="str">
        <f t="shared" si="5"/>
        <v>26</v>
      </c>
      <c r="H72" s="2" t="s">
        <v>376</v>
      </c>
      <c r="I72" s="2" t="s">
        <v>385</v>
      </c>
      <c r="J72" s="2"/>
      <c r="K72" s="2"/>
      <c r="L72" s="2"/>
      <c r="M72" s="2" t="s">
        <v>23</v>
      </c>
    </row>
    <row r="73" spans="1:13" ht="25" x14ac:dyDescent="0.35">
      <c r="A73" s="5" t="s">
        <v>386</v>
      </c>
      <c r="B73" s="2"/>
      <c r="C73" s="2" t="s">
        <v>387</v>
      </c>
      <c r="D73" s="4" t="s">
        <v>388</v>
      </c>
      <c r="E73" s="4" t="str">
        <f t="shared" si="3"/>
        <v>19</v>
      </c>
      <c r="F73" s="4" t="str">
        <f t="shared" si="4"/>
        <v>7</v>
      </c>
      <c r="G73" s="4" t="str">
        <f t="shared" si="5"/>
        <v>24</v>
      </c>
      <c r="H73" s="2" t="s">
        <v>389</v>
      </c>
      <c r="I73" s="2" t="s">
        <v>390</v>
      </c>
      <c r="J73" s="2" t="s">
        <v>389</v>
      </c>
      <c r="K73" s="2" t="s">
        <v>391</v>
      </c>
      <c r="L73" s="2" t="s">
        <v>392</v>
      </c>
      <c r="M73" s="2" t="s">
        <v>17</v>
      </c>
    </row>
    <row r="74" spans="1:13" ht="25" x14ac:dyDescent="0.35">
      <c r="A74" s="5" t="s">
        <v>386</v>
      </c>
      <c r="B74" s="2"/>
      <c r="C74" s="2" t="s">
        <v>393</v>
      </c>
      <c r="D74" s="4" t="s">
        <v>394</v>
      </c>
      <c r="E74" s="4" t="str">
        <f t="shared" si="3"/>
        <v>13</v>
      </c>
      <c r="F74" s="4" t="str">
        <f t="shared" si="4"/>
        <v>8</v>
      </c>
      <c r="G74" s="4" t="str">
        <f t="shared" si="5"/>
        <v>24</v>
      </c>
      <c r="H74" s="2" t="s">
        <v>13</v>
      </c>
      <c r="I74" s="2" t="s">
        <v>395</v>
      </c>
      <c r="J74" s="2" t="s">
        <v>13</v>
      </c>
      <c r="K74" s="2" t="s">
        <v>396</v>
      </c>
      <c r="L74" s="2" t="s">
        <v>397</v>
      </c>
      <c r="M74" s="2" t="s">
        <v>17</v>
      </c>
    </row>
    <row r="75" spans="1:13" x14ac:dyDescent="0.35">
      <c r="A75" s="5" t="s">
        <v>386</v>
      </c>
      <c r="B75" s="2"/>
      <c r="C75" s="2" t="s">
        <v>398</v>
      </c>
      <c r="D75" s="4" t="s">
        <v>399</v>
      </c>
      <c r="E75" s="4" t="str">
        <f t="shared" si="3"/>
        <v>7</v>
      </c>
      <c r="F75" s="4" t="str">
        <f t="shared" si="4"/>
        <v>1</v>
      </c>
      <c r="G75" s="4" t="str">
        <f t="shared" si="5"/>
        <v>24</v>
      </c>
      <c r="H75" s="2" t="s">
        <v>400</v>
      </c>
      <c r="I75" s="2" t="s">
        <v>401</v>
      </c>
      <c r="J75" s="2"/>
      <c r="K75" s="2"/>
      <c r="L75" s="2"/>
      <c r="M75" s="2" t="s">
        <v>23</v>
      </c>
    </row>
    <row r="76" spans="1:13" x14ac:dyDescent="0.35">
      <c r="A76" s="5" t="s">
        <v>386</v>
      </c>
      <c r="B76" s="2"/>
      <c r="C76" s="2" t="s">
        <v>167</v>
      </c>
      <c r="D76" s="4" t="s">
        <v>402</v>
      </c>
      <c r="E76" s="4" t="str">
        <f t="shared" si="3"/>
        <v>7</v>
      </c>
      <c r="F76" s="4" t="str">
        <f t="shared" si="4"/>
        <v>1</v>
      </c>
      <c r="G76" s="4" t="str">
        <f t="shared" si="5"/>
        <v>24</v>
      </c>
      <c r="H76" s="2" t="s">
        <v>400</v>
      </c>
      <c r="I76" s="2" t="s">
        <v>403</v>
      </c>
      <c r="J76" s="2" t="s">
        <v>400</v>
      </c>
      <c r="K76" s="2" t="s">
        <v>404</v>
      </c>
      <c r="L76" s="2" t="s">
        <v>405</v>
      </c>
      <c r="M76" s="2" t="s">
        <v>17</v>
      </c>
    </row>
    <row r="77" spans="1:13" ht="25" x14ac:dyDescent="0.35">
      <c r="A77" s="5" t="s">
        <v>386</v>
      </c>
      <c r="B77" s="2"/>
      <c r="C77" s="2" t="s">
        <v>406</v>
      </c>
      <c r="D77" s="4" t="s">
        <v>407</v>
      </c>
      <c r="E77" s="4" t="str">
        <f t="shared" si="3"/>
        <v>18</v>
      </c>
      <c r="F77" s="4" t="str">
        <f t="shared" si="4"/>
        <v>1</v>
      </c>
      <c r="G77" s="4" t="str">
        <f t="shared" si="5"/>
        <v>24</v>
      </c>
      <c r="H77" s="2" t="s">
        <v>408</v>
      </c>
      <c r="I77" s="2" t="s">
        <v>409</v>
      </c>
      <c r="J77" s="2" t="s">
        <v>408</v>
      </c>
      <c r="K77" s="2" t="s">
        <v>410</v>
      </c>
      <c r="L77" s="2" t="s">
        <v>411</v>
      </c>
      <c r="M77" s="2" t="s">
        <v>17</v>
      </c>
    </row>
    <row r="78" spans="1:13" x14ac:dyDescent="0.35">
      <c r="A78" s="5" t="s">
        <v>386</v>
      </c>
      <c r="B78" s="2"/>
      <c r="C78" s="2" t="s">
        <v>58</v>
      </c>
      <c r="D78" s="4" t="s">
        <v>412</v>
      </c>
      <c r="E78" s="4" t="str">
        <f t="shared" si="3"/>
        <v>26</v>
      </c>
      <c r="F78" s="4" t="str">
        <f t="shared" si="4"/>
        <v>1</v>
      </c>
      <c r="G78" s="4" t="str">
        <f t="shared" si="5"/>
        <v>24</v>
      </c>
      <c r="H78" s="2" t="s">
        <v>60</v>
      </c>
      <c r="I78" s="2" t="s">
        <v>413</v>
      </c>
      <c r="J78" s="2" t="s">
        <v>60</v>
      </c>
      <c r="K78" s="2" t="s">
        <v>414</v>
      </c>
      <c r="L78" s="2" t="s">
        <v>415</v>
      </c>
      <c r="M78" s="2" t="s">
        <v>17</v>
      </c>
    </row>
    <row r="79" spans="1:13" x14ac:dyDescent="0.35">
      <c r="A79" s="5" t="s">
        <v>386</v>
      </c>
      <c r="B79" s="2"/>
      <c r="C79" s="2" t="s">
        <v>416</v>
      </c>
      <c r="D79" s="4" t="s">
        <v>417</v>
      </c>
      <c r="E79" s="4" t="str">
        <f t="shared" si="3"/>
        <v>20</v>
      </c>
      <c r="F79" s="4" t="str">
        <f t="shared" si="4"/>
        <v>1</v>
      </c>
      <c r="G79" s="4" t="str">
        <f t="shared" si="5"/>
        <v>24</v>
      </c>
      <c r="H79" s="2" t="s">
        <v>86</v>
      </c>
      <c r="I79" s="2" t="s">
        <v>418</v>
      </c>
      <c r="J79" s="2" t="s">
        <v>86</v>
      </c>
      <c r="K79" s="2" t="s">
        <v>419</v>
      </c>
      <c r="L79" s="2" t="s">
        <v>420</v>
      </c>
      <c r="M79" s="2" t="s">
        <v>17</v>
      </c>
    </row>
    <row r="80" spans="1:13" ht="25" x14ac:dyDescent="0.35">
      <c r="A80" s="5" t="s">
        <v>386</v>
      </c>
      <c r="B80" s="2"/>
      <c r="C80" s="2" t="s">
        <v>421</v>
      </c>
      <c r="D80" s="4" t="s">
        <v>422</v>
      </c>
      <c r="E80" s="4" t="str">
        <f t="shared" si="3"/>
        <v>12</v>
      </c>
      <c r="F80" s="4" t="str">
        <f t="shared" si="4"/>
        <v>2</v>
      </c>
      <c r="G80" s="4" t="str">
        <f t="shared" si="5"/>
        <v>25</v>
      </c>
      <c r="H80" s="2" t="s">
        <v>423</v>
      </c>
      <c r="I80" s="2" t="s">
        <v>424</v>
      </c>
      <c r="J80" s="2" t="s">
        <v>423</v>
      </c>
      <c r="K80" s="2" t="s">
        <v>425</v>
      </c>
      <c r="L80" s="2" t="s">
        <v>426</v>
      </c>
      <c r="M80" s="2" t="s">
        <v>17</v>
      </c>
    </row>
    <row r="81" spans="1:13" ht="25" x14ac:dyDescent="0.35">
      <c r="A81" s="5" t="s">
        <v>386</v>
      </c>
      <c r="B81" s="2"/>
      <c r="C81" s="2" t="s">
        <v>427</v>
      </c>
      <c r="D81" s="4" t="s">
        <v>428</v>
      </c>
      <c r="E81" s="4" t="str">
        <f t="shared" si="3"/>
        <v>26</v>
      </c>
      <c r="F81" s="4" t="str">
        <f t="shared" si="4"/>
        <v>2</v>
      </c>
      <c r="G81" s="4" t="str">
        <f t="shared" si="5"/>
        <v>25</v>
      </c>
      <c r="H81" s="2" t="s">
        <v>429</v>
      </c>
      <c r="I81" s="2" t="s">
        <v>430</v>
      </c>
      <c r="J81" s="2" t="s">
        <v>429</v>
      </c>
      <c r="K81" s="2" t="s">
        <v>431</v>
      </c>
      <c r="L81" s="2" t="s">
        <v>432</v>
      </c>
      <c r="M81" s="2" t="s">
        <v>17</v>
      </c>
    </row>
    <row r="82" spans="1:13" x14ac:dyDescent="0.35">
      <c r="A82" s="5" t="s">
        <v>386</v>
      </c>
      <c r="B82" s="2"/>
      <c r="C82" s="2" t="s">
        <v>433</v>
      </c>
      <c r="D82" s="4" t="s">
        <v>434</v>
      </c>
      <c r="E82" s="4" t="str">
        <f t="shared" si="3"/>
        <v>16</v>
      </c>
      <c r="F82" s="4" t="str">
        <f t="shared" si="4"/>
        <v>4</v>
      </c>
      <c r="G82" s="4" t="str">
        <f t="shared" si="5"/>
        <v>25</v>
      </c>
      <c r="H82" s="2" t="s">
        <v>145</v>
      </c>
      <c r="I82" s="2" t="s">
        <v>435</v>
      </c>
      <c r="J82" s="2" t="s">
        <v>145</v>
      </c>
      <c r="K82" s="2" t="s">
        <v>436</v>
      </c>
      <c r="L82" s="2" t="s">
        <v>437</v>
      </c>
      <c r="M82" s="2" t="s">
        <v>17</v>
      </c>
    </row>
    <row r="83" spans="1:13" ht="25" x14ac:dyDescent="0.35">
      <c r="A83" s="5" t="s">
        <v>386</v>
      </c>
      <c r="B83" s="2"/>
      <c r="C83" s="2" t="s">
        <v>438</v>
      </c>
      <c r="D83" s="4" t="s">
        <v>439</v>
      </c>
      <c r="E83" s="4" t="str">
        <f t="shared" si="3"/>
        <v>21</v>
      </c>
      <c r="F83" s="4" t="str">
        <f t="shared" si="4"/>
        <v>5</v>
      </c>
      <c r="G83" s="4" t="str">
        <f t="shared" si="5"/>
        <v>26</v>
      </c>
      <c r="H83" s="2" t="s">
        <v>321</v>
      </c>
      <c r="I83" s="2" t="s">
        <v>440</v>
      </c>
      <c r="J83" s="2" t="s">
        <v>321</v>
      </c>
      <c r="K83" s="2" t="s">
        <v>441</v>
      </c>
      <c r="L83" s="2" t="s">
        <v>442</v>
      </c>
      <c r="M83" s="2" t="s">
        <v>17</v>
      </c>
    </row>
    <row r="84" spans="1:13" ht="25" x14ac:dyDescent="0.35">
      <c r="A84" s="5" t="s">
        <v>386</v>
      </c>
      <c r="B84" s="2"/>
      <c r="C84" s="2" t="s">
        <v>438</v>
      </c>
      <c r="D84" s="4" t="s">
        <v>443</v>
      </c>
      <c r="E84" s="4" t="str">
        <f t="shared" si="3"/>
        <v>15</v>
      </c>
      <c r="F84" s="4" t="str">
        <f t="shared" si="4"/>
        <v>6</v>
      </c>
      <c r="G84" s="4" t="str">
        <f t="shared" si="5"/>
        <v>26</v>
      </c>
      <c r="H84" s="2" t="s">
        <v>444</v>
      </c>
      <c r="I84" s="2" t="s">
        <v>445</v>
      </c>
      <c r="J84" s="2"/>
      <c r="K84" s="2"/>
      <c r="L84" s="2"/>
      <c r="M84" s="2" t="s">
        <v>23</v>
      </c>
    </row>
    <row r="85" spans="1:13" ht="25" x14ac:dyDescent="0.35">
      <c r="A85" s="5" t="s">
        <v>386</v>
      </c>
      <c r="B85" s="2"/>
      <c r="C85" s="2" t="s">
        <v>446</v>
      </c>
      <c r="D85" s="4" t="s">
        <v>447</v>
      </c>
      <c r="E85" s="4" t="str">
        <f t="shared" si="3"/>
        <v>17</v>
      </c>
      <c r="F85" s="4" t="str">
        <f t="shared" si="4"/>
        <v>6</v>
      </c>
      <c r="G85" s="4" t="str">
        <f t="shared" si="5"/>
        <v>26</v>
      </c>
      <c r="H85" s="2" t="s">
        <v>329</v>
      </c>
      <c r="I85" s="2" t="s">
        <v>448</v>
      </c>
      <c r="J85" s="2" t="s">
        <v>329</v>
      </c>
      <c r="K85" s="2" t="s">
        <v>449</v>
      </c>
      <c r="L85" s="2" t="s">
        <v>397</v>
      </c>
      <c r="M85" s="2" t="s">
        <v>17</v>
      </c>
    </row>
    <row r="86" spans="1:13" ht="25" x14ac:dyDescent="0.35">
      <c r="A86" s="5" t="s">
        <v>386</v>
      </c>
      <c r="B86" s="2"/>
      <c r="C86" s="2" t="s">
        <v>450</v>
      </c>
      <c r="D86" s="4" t="s">
        <v>451</v>
      </c>
      <c r="E86" s="4" t="str">
        <f t="shared" si="3"/>
        <v>20</v>
      </c>
      <c r="F86" s="4" t="str">
        <f t="shared" si="4"/>
        <v>6</v>
      </c>
      <c r="G86" s="4" t="str">
        <f t="shared" si="5"/>
        <v>26</v>
      </c>
      <c r="H86" s="2" t="s">
        <v>452</v>
      </c>
      <c r="I86" s="2" t="s">
        <v>453</v>
      </c>
      <c r="J86" s="2" t="s">
        <v>452</v>
      </c>
      <c r="K86" s="2" t="s">
        <v>454</v>
      </c>
      <c r="L86" s="2" t="s">
        <v>455</v>
      </c>
      <c r="M86" s="2" t="s">
        <v>17</v>
      </c>
    </row>
    <row r="87" spans="1:13" ht="25" x14ac:dyDescent="0.35">
      <c r="A87" s="6" t="s">
        <v>456</v>
      </c>
      <c r="B87" s="2"/>
      <c r="C87" s="2" t="s">
        <v>457</v>
      </c>
      <c r="D87" s="4" t="s">
        <v>458</v>
      </c>
      <c r="E87" s="4" t="str">
        <f t="shared" si="3"/>
        <v>12</v>
      </c>
      <c r="F87" s="4" t="str">
        <f t="shared" si="4"/>
        <v>8</v>
      </c>
      <c r="G87" s="4" t="str">
        <f t="shared" si="5"/>
        <v>24</v>
      </c>
      <c r="H87" s="2" t="s">
        <v>459</v>
      </c>
      <c r="I87" s="2" t="s">
        <v>460</v>
      </c>
      <c r="J87" s="2" t="s">
        <v>459</v>
      </c>
      <c r="K87" s="2" t="s">
        <v>461</v>
      </c>
      <c r="L87" s="2" t="s">
        <v>462</v>
      </c>
      <c r="M87" s="2" t="s">
        <v>17</v>
      </c>
    </row>
    <row r="88" spans="1:13" ht="25" x14ac:dyDescent="0.35">
      <c r="A88" s="6" t="s">
        <v>456</v>
      </c>
      <c r="B88" s="2"/>
      <c r="C88" s="2" t="s">
        <v>463</v>
      </c>
      <c r="D88" s="4" t="s">
        <v>464</v>
      </c>
      <c r="E88" s="4" t="str">
        <f t="shared" si="3"/>
        <v>13</v>
      </c>
      <c r="F88" s="4" t="str">
        <f t="shared" si="4"/>
        <v>8</v>
      </c>
      <c r="G88" s="4" t="str">
        <f t="shared" si="5"/>
        <v>24</v>
      </c>
      <c r="H88" s="2" t="s">
        <v>13</v>
      </c>
      <c r="I88" s="2" t="s">
        <v>465</v>
      </c>
      <c r="J88" s="2" t="s">
        <v>13</v>
      </c>
      <c r="K88" s="2" t="s">
        <v>123</v>
      </c>
      <c r="L88" s="2" t="s">
        <v>248</v>
      </c>
      <c r="M88" s="2" t="s">
        <v>17</v>
      </c>
    </row>
    <row r="89" spans="1:13" ht="25" x14ac:dyDescent="0.35">
      <c r="A89" s="6" t="s">
        <v>456</v>
      </c>
      <c r="B89" s="2"/>
      <c r="C89" s="2" t="s">
        <v>466</v>
      </c>
      <c r="D89" s="4" t="s">
        <v>467</v>
      </c>
      <c r="E89" s="4" t="str">
        <f t="shared" si="3"/>
        <v>12</v>
      </c>
      <c r="F89" s="4" t="str">
        <f t="shared" si="4"/>
        <v>2</v>
      </c>
      <c r="G89" s="4" t="str">
        <f t="shared" si="5"/>
        <v>25</v>
      </c>
      <c r="H89" s="2" t="s">
        <v>423</v>
      </c>
      <c r="I89" s="2" t="s">
        <v>468</v>
      </c>
      <c r="J89" s="2" t="s">
        <v>423</v>
      </c>
      <c r="K89" s="2" t="s">
        <v>469</v>
      </c>
      <c r="L89" s="2" t="s">
        <v>470</v>
      </c>
      <c r="M89" s="2" t="s">
        <v>17</v>
      </c>
    </row>
    <row r="90" spans="1:13" x14ac:dyDescent="0.35">
      <c r="A90" s="6" t="s">
        <v>456</v>
      </c>
      <c r="B90" s="2"/>
      <c r="C90" s="2" t="s">
        <v>471</v>
      </c>
      <c r="D90" s="4" t="s">
        <v>472</v>
      </c>
      <c r="E90" s="4" t="str">
        <f t="shared" si="3"/>
        <v>19</v>
      </c>
      <c r="F90" s="4" t="str">
        <f t="shared" si="4"/>
        <v>4</v>
      </c>
      <c r="G90" s="4" t="str">
        <f t="shared" si="5"/>
        <v>25</v>
      </c>
      <c r="H90" s="2" t="s">
        <v>473</v>
      </c>
      <c r="I90" s="2" t="s">
        <v>474</v>
      </c>
      <c r="J90" s="2" t="s">
        <v>473</v>
      </c>
      <c r="K90" s="2" t="s">
        <v>475</v>
      </c>
      <c r="L90" s="2" t="s">
        <v>476</v>
      </c>
      <c r="M90" s="2" t="s">
        <v>17</v>
      </c>
    </row>
    <row r="91" spans="1:13" ht="25" x14ac:dyDescent="0.35">
      <c r="A91" s="6" t="s">
        <v>456</v>
      </c>
      <c r="B91" s="2"/>
      <c r="C91" s="2" t="s">
        <v>477</v>
      </c>
      <c r="D91" s="4" t="s">
        <v>478</v>
      </c>
      <c r="E91" s="4" t="str">
        <f t="shared" si="3"/>
        <v>3</v>
      </c>
      <c r="F91" s="4" t="str">
        <f t="shared" si="4"/>
        <v>6</v>
      </c>
      <c r="G91" s="4" t="str">
        <f t="shared" si="5"/>
        <v>25</v>
      </c>
      <c r="H91" s="2" t="s">
        <v>479</v>
      </c>
      <c r="I91" s="2" t="s">
        <v>480</v>
      </c>
      <c r="J91" s="2"/>
      <c r="K91" s="2"/>
      <c r="L91" s="2"/>
      <c r="M91" s="2" t="s">
        <v>23</v>
      </c>
    </row>
    <row r="92" spans="1:13" ht="37.5" x14ac:dyDescent="0.35">
      <c r="A92" s="6" t="s">
        <v>456</v>
      </c>
      <c r="B92" s="2"/>
      <c r="C92" s="2" t="s">
        <v>481</v>
      </c>
      <c r="D92" s="4" t="s">
        <v>482</v>
      </c>
      <c r="E92" s="4" t="str">
        <f t="shared" si="3"/>
        <v>12</v>
      </c>
      <c r="F92" s="4" t="str">
        <f t="shared" si="4"/>
        <v>6</v>
      </c>
      <c r="G92" s="4" t="str">
        <f t="shared" si="5"/>
        <v>25</v>
      </c>
      <c r="H92" s="2" t="s">
        <v>483</v>
      </c>
      <c r="I92" s="2" t="s">
        <v>436</v>
      </c>
      <c r="J92" s="2" t="s">
        <v>484</v>
      </c>
      <c r="K92" s="2" t="s">
        <v>485</v>
      </c>
      <c r="L92" s="2" t="s">
        <v>486</v>
      </c>
      <c r="M92" s="2" t="s">
        <v>17</v>
      </c>
    </row>
    <row r="93" spans="1:13" ht="25" x14ac:dyDescent="0.35">
      <c r="A93" s="6" t="s">
        <v>456</v>
      </c>
      <c r="B93" s="2"/>
      <c r="C93" s="2" t="s">
        <v>487</v>
      </c>
      <c r="D93" s="4" t="s">
        <v>488</v>
      </c>
      <c r="E93" s="4" t="str">
        <f t="shared" si="3"/>
        <v>9</v>
      </c>
      <c r="F93" s="4" t="str">
        <f t="shared" si="4"/>
        <v>7</v>
      </c>
      <c r="G93" s="4" t="str">
        <f t="shared" si="5"/>
        <v>25</v>
      </c>
      <c r="H93" s="2" t="s">
        <v>489</v>
      </c>
      <c r="I93" s="2" t="s">
        <v>490</v>
      </c>
      <c r="J93" s="2" t="s">
        <v>489</v>
      </c>
      <c r="K93" s="2" t="s">
        <v>491</v>
      </c>
      <c r="L93" s="2" t="s">
        <v>420</v>
      </c>
      <c r="M93" s="2" t="s">
        <v>17</v>
      </c>
    </row>
    <row r="94" spans="1:13" x14ac:dyDescent="0.35">
      <c r="A94" s="6" t="s">
        <v>456</v>
      </c>
      <c r="B94" s="2"/>
      <c r="C94" s="2" t="s">
        <v>70</v>
      </c>
      <c r="D94" s="4" t="s">
        <v>492</v>
      </c>
      <c r="E94" s="4" t="str">
        <f t="shared" si="3"/>
        <v>30</v>
      </c>
      <c r="F94" s="4" t="str">
        <f t="shared" si="4"/>
        <v>9</v>
      </c>
      <c r="G94" s="4" t="str">
        <f t="shared" si="5"/>
        <v>25</v>
      </c>
      <c r="H94" s="2" t="s">
        <v>493</v>
      </c>
      <c r="I94" s="2" t="s">
        <v>494</v>
      </c>
      <c r="J94" s="2"/>
      <c r="K94" s="2"/>
      <c r="L94" s="2"/>
      <c r="M94" s="2" t="s">
        <v>23</v>
      </c>
    </row>
    <row r="95" spans="1:13" ht="25" x14ac:dyDescent="0.35">
      <c r="A95" s="6" t="s">
        <v>456</v>
      </c>
      <c r="B95" s="2"/>
      <c r="C95" s="2" t="s">
        <v>487</v>
      </c>
      <c r="D95" s="4" t="s">
        <v>495</v>
      </c>
      <c r="E95" s="4" t="str">
        <f t="shared" si="3"/>
        <v>1</v>
      </c>
      <c r="F95" s="4" t="str">
        <f t="shared" si="4"/>
        <v>1</v>
      </c>
      <c r="G95" s="4" t="str">
        <f t="shared" si="5"/>
        <v>25</v>
      </c>
      <c r="H95" s="2" t="s">
        <v>214</v>
      </c>
      <c r="I95" s="2" t="s">
        <v>496</v>
      </c>
      <c r="J95" s="2"/>
      <c r="K95" s="2"/>
      <c r="L95" s="2"/>
      <c r="M95" s="2" t="s">
        <v>23</v>
      </c>
    </row>
    <row r="96" spans="1:13" x14ac:dyDescent="0.35">
      <c r="A96" s="6" t="s">
        <v>456</v>
      </c>
      <c r="B96" s="2"/>
      <c r="C96" s="2" t="s">
        <v>497</v>
      </c>
      <c r="D96" s="4" t="s">
        <v>498</v>
      </c>
      <c r="E96" s="4" t="str">
        <f t="shared" si="3"/>
        <v>5</v>
      </c>
      <c r="F96" s="4" t="str">
        <f t="shared" si="4"/>
        <v>1</v>
      </c>
      <c r="G96" s="4" t="str">
        <f t="shared" si="5"/>
        <v>25</v>
      </c>
      <c r="H96" s="2" t="s">
        <v>499</v>
      </c>
      <c r="I96" s="2" t="s">
        <v>500</v>
      </c>
      <c r="J96" s="2" t="s">
        <v>499</v>
      </c>
      <c r="K96" s="2" t="s">
        <v>501</v>
      </c>
      <c r="L96" s="2" t="s">
        <v>502</v>
      </c>
      <c r="M96" s="2" t="s">
        <v>17</v>
      </c>
    </row>
    <row r="97" spans="1:13" x14ac:dyDescent="0.35">
      <c r="A97" s="6" t="s">
        <v>456</v>
      </c>
      <c r="B97" s="2"/>
      <c r="C97" s="2" t="s">
        <v>497</v>
      </c>
      <c r="D97" s="4" t="s">
        <v>503</v>
      </c>
      <c r="E97" s="4" t="str">
        <f t="shared" si="3"/>
        <v>5</v>
      </c>
      <c r="F97" s="4" t="str">
        <f t="shared" si="4"/>
        <v>1</v>
      </c>
      <c r="G97" s="4" t="str">
        <f t="shared" si="5"/>
        <v>25</v>
      </c>
      <c r="H97" s="2" t="s">
        <v>499</v>
      </c>
      <c r="I97" s="2" t="s">
        <v>504</v>
      </c>
      <c r="J97" s="2" t="s">
        <v>499</v>
      </c>
      <c r="K97" s="2" t="s">
        <v>505</v>
      </c>
      <c r="L97" s="2" t="s">
        <v>506</v>
      </c>
      <c r="M97" s="2" t="s">
        <v>17</v>
      </c>
    </row>
    <row r="98" spans="1:13" ht="25" x14ac:dyDescent="0.35">
      <c r="A98" s="6" t="s">
        <v>456</v>
      </c>
      <c r="B98" s="2"/>
      <c r="C98" s="2" t="s">
        <v>507</v>
      </c>
      <c r="D98" s="4" t="s">
        <v>508</v>
      </c>
      <c r="E98" s="4" t="str">
        <f t="shared" si="3"/>
        <v>5</v>
      </c>
      <c r="F98" s="4" t="str">
        <f t="shared" si="4"/>
        <v>1</v>
      </c>
      <c r="G98" s="4" t="str">
        <f t="shared" si="5"/>
        <v>26</v>
      </c>
      <c r="H98" s="2" t="s">
        <v>259</v>
      </c>
      <c r="I98" s="2" t="s">
        <v>509</v>
      </c>
      <c r="J98" s="2"/>
      <c r="K98" s="2"/>
      <c r="L98" s="2"/>
      <c r="M98" s="2" t="s">
        <v>23</v>
      </c>
    </row>
    <row r="99" spans="1:13" ht="25" x14ac:dyDescent="0.35">
      <c r="A99" s="6" t="s">
        <v>456</v>
      </c>
      <c r="B99" s="2"/>
      <c r="C99" s="2" t="s">
        <v>510</v>
      </c>
      <c r="D99" s="4" t="s">
        <v>511</v>
      </c>
      <c r="E99" s="4" t="str">
        <f t="shared" si="3"/>
        <v>24</v>
      </c>
      <c r="F99" s="4" t="str">
        <f t="shared" si="4"/>
        <v>1</v>
      </c>
      <c r="G99" s="4" t="str">
        <f t="shared" si="5"/>
        <v>26</v>
      </c>
      <c r="H99" s="2" t="s">
        <v>512</v>
      </c>
      <c r="I99" s="2" t="s">
        <v>513</v>
      </c>
      <c r="J99" s="2" t="s">
        <v>512</v>
      </c>
      <c r="K99" s="2" t="s">
        <v>514</v>
      </c>
      <c r="L99" s="2" t="s">
        <v>515</v>
      </c>
      <c r="M99" s="2" t="s">
        <v>17</v>
      </c>
    </row>
    <row r="100" spans="1:13" ht="25" x14ac:dyDescent="0.35">
      <c r="A100" s="6" t="s">
        <v>456</v>
      </c>
      <c r="B100" s="2"/>
      <c r="C100" s="2" t="s">
        <v>510</v>
      </c>
      <c r="D100" s="4" t="s">
        <v>516</v>
      </c>
      <c r="E100" s="4" t="str">
        <f t="shared" si="3"/>
        <v>24</v>
      </c>
      <c r="F100" s="4" t="str">
        <f t="shared" si="4"/>
        <v>1</v>
      </c>
      <c r="G100" s="4" t="str">
        <f t="shared" si="5"/>
        <v>26</v>
      </c>
      <c r="H100" s="2" t="s">
        <v>512</v>
      </c>
      <c r="I100" s="2" t="s">
        <v>517</v>
      </c>
      <c r="J100" s="2"/>
      <c r="K100" s="2"/>
      <c r="L100" s="2"/>
      <c r="M100" s="2" t="s">
        <v>23</v>
      </c>
    </row>
    <row r="101" spans="1:13" ht="25" x14ac:dyDescent="0.35">
      <c r="A101" s="6" t="s">
        <v>456</v>
      </c>
      <c r="B101" s="2"/>
      <c r="C101" s="2" t="s">
        <v>518</v>
      </c>
      <c r="D101" s="4" t="s">
        <v>519</v>
      </c>
      <c r="E101" s="4" t="str">
        <f t="shared" si="3"/>
        <v>9</v>
      </c>
      <c r="F101" s="4" t="str">
        <f t="shared" si="4"/>
        <v>2</v>
      </c>
      <c r="G101" s="4" t="str">
        <f t="shared" si="5"/>
        <v>26</v>
      </c>
      <c r="H101" s="2" t="s">
        <v>520</v>
      </c>
      <c r="I101" s="2" t="s">
        <v>474</v>
      </c>
      <c r="J101" s="2"/>
      <c r="K101" s="2"/>
      <c r="L101" s="2"/>
      <c r="M101" s="2" t="s">
        <v>23</v>
      </c>
    </row>
    <row r="102" spans="1:13" ht="25" x14ac:dyDescent="0.35">
      <c r="A102" s="6" t="s">
        <v>456</v>
      </c>
      <c r="B102" s="2"/>
      <c r="C102" s="2" t="s">
        <v>521</v>
      </c>
      <c r="D102" s="4" t="s">
        <v>522</v>
      </c>
      <c r="E102" s="4" t="str">
        <f t="shared" si="3"/>
        <v>19</v>
      </c>
      <c r="F102" s="4" t="str">
        <f t="shared" si="4"/>
        <v>3</v>
      </c>
      <c r="G102" s="4" t="str">
        <f t="shared" si="5"/>
        <v>26</v>
      </c>
      <c r="H102" s="2" t="s">
        <v>523</v>
      </c>
      <c r="I102" s="2" t="s">
        <v>524</v>
      </c>
      <c r="J102" s="2" t="s">
        <v>523</v>
      </c>
      <c r="K102" s="2" t="s">
        <v>525</v>
      </c>
      <c r="L102" s="2" t="s">
        <v>187</v>
      </c>
      <c r="M102" s="2" t="s">
        <v>17</v>
      </c>
    </row>
    <row r="103" spans="1:13" ht="25" x14ac:dyDescent="0.35">
      <c r="A103" s="6" t="s">
        <v>456</v>
      </c>
      <c r="B103" s="2"/>
      <c r="C103" s="2" t="s">
        <v>526</v>
      </c>
      <c r="D103" s="4" t="s">
        <v>527</v>
      </c>
      <c r="E103" s="4" t="str">
        <f t="shared" si="3"/>
        <v>27</v>
      </c>
      <c r="F103" s="4" t="str">
        <f t="shared" si="4"/>
        <v>5</v>
      </c>
      <c r="G103" s="4" t="str">
        <f t="shared" si="5"/>
        <v>26</v>
      </c>
      <c r="H103" s="2" t="s">
        <v>528</v>
      </c>
      <c r="I103" s="2" t="s">
        <v>529</v>
      </c>
      <c r="J103" s="2"/>
      <c r="K103" s="2"/>
      <c r="L103" s="2"/>
      <c r="M103" s="2" t="s">
        <v>23</v>
      </c>
    </row>
    <row r="104" spans="1:13" x14ac:dyDescent="0.35">
      <c r="A104" s="6" t="s">
        <v>456</v>
      </c>
      <c r="B104" s="2"/>
      <c r="C104" s="2" t="s">
        <v>438</v>
      </c>
      <c r="D104" s="4" t="s">
        <v>530</v>
      </c>
      <c r="E104" s="4" t="str">
        <f t="shared" si="3"/>
        <v>16</v>
      </c>
      <c r="F104" s="4" t="str">
        <f t="shared" si="4"/>
        <v>6</v>
      </c>
      <c r="G104" s="4" t="str">
        <f t="shared" si="5"/>
        <v>26</v>
      </c>
      <c r="H104" s="2" t="s">
        <v>531</v>
      </c>
      <c r="I104" s="2" t="s">
        <v>532</v>
      </c>
      <c r="J104" s="2"/>
      <c r="K104" s="2"/>
      <c r="L104" s="2"/>
      <c r="M104" s="2" t="s">
        <v>23</v>
      </c>
    </row>
    <row r="105" spans="1:13" ht="37.5" x14ac:dyDescent="0.35">
      <c r="A105" s="6" t="s">
        <v>456</v>
      </c>
      <c r="B105" s="2"/>
      <c r="C105" s="2" t="s">
        <v>533</v>
      </c>
      <c r="D105" s="4" t="s">
        <v>534</v>
      </c>
      <c r="E105" s="4" t="str">
        <f t="shared" si="3"/>
        <v>16</v>
      </c>
      <c r="F105" s="4" t="str">
        <f t="shared" si="4"/>
        <v>6</v>
      </c>
      <c r="G105" s="4" t="str">
        <f t="shared" si="5"/>
        <v>26</v>
      </c>
      <c r="H105" s="2" t="s">
        <v>531</v>
      </c>
      <c r="I105" s="2" t="s">
        <v>535</v>
      </c>
      <c r="J105" s="2" t="s">
        <v>531</v>
      </c>
      <c r="K105" s="2" t="s">
        <v>536</v>
      </c>
      <c r="L105" s="2" t="s">
        <v>537</v>
      </c>
      <c r="M105" s="2" t="s">
        <v>17</v>
      </c>
    </row>
    <row r="106" spans="1:13" ht="25" x14ac:dyDescent="0.35">
      <c r="A106" s="6" t="s">
        <v>456</v>
      </c>
      <c r="B106" s="2"/>
      <c r="C106" s="2" t="s">
        <v>538</v>
      </c>
      <c r="D106" s="4" t="s">
        <v>539</v>
      </c>
      <c r="E106" s="4" t="str">
        <f t="shared" si="3"/>
        <v>25</v>
      </c>
      <c r="F106" s="4" t="str">
        <f t="shared" si="4"/>
        <v>6</v>
      </c>
      <c r="G106" s="4" t="str">
        <f t="shared" si="5"/>
        <v>26</v>
      </c>
      <c r="H106" s="2" t="s">
        <v>540</v>
      </c>
      <c r="I106" s="2" t="s">
        <v>541</v>
      </c>
      <c r="J106" s="2" t="s">
        <v>540</v>
      </c>
      <c r="K106" s="2" t="s">
        <v>541</v>
      </c>
      <c r="L106" s="2" t="s">
        <v>63</v>
      </c>
      <c r="M106" s="2" t="s">
        <v>17</v>
      </c>
    </row>
    <row r="107" spans="1:13" ht="25" x14ac:dyDescent="0.35">
      <c r="A107" s="6" t="s">
        <v>456</v>
      </c>
      <c r="B107" s="2"/>
      <c r="C107" s="2" t="s">
        <v>542</v>
      </c>
      <c r="D107" s="4" t="s">
        <v>543</v>
      </c>
      <c r="E107" s="4" t="str">
        <f t="shared" si="3"/>
        <v>4</v>
      </c>
      <c r="F107" s="4" t="str">
        <f t="shared" si="4"/>
        <v>8</v>
      </c>
      <c r="G107" s="4" t="str">
        <f t="shared" si="5"/>
        <v>26</v>
      </c>
      <c r="H107" s="2" t="s">
        <v>544</v>
      </c>
      <c r="I107" s="2" t="s">
        <v>545</v>
      </c>
      <c r="J107" s="2"/>
      <c r="K107" s="2"/>
      <c r="L107" s="2"/>
      <c r="M107" s="2" t="s">
        <v>23</v>
      </c>
    </row>
    <row r="108" spans="1:13" ht="25" x14ac:dyDescent="0.35">
      <c r="A108" s="7" t="s">
        <v>546</v>
      </c>
      <c r="B108" s="2"/>
      <c r="C108" s="2" t="s">
        <v>438</v>
      </c>
      <c r="D108" s="4" t="s">
        <v>547</v>
      </c>
      <c r="E108" s="4" t="str">
        <f t="shared" si="3"/>
        <v>5</v>
      </c>
      <c r="F108" s="4" t="str">
        <f t="shared" si="4"/>
        <v>3</v>
      </c>
      <c r="G108" s="4" t="str">
        <f t="shared" si="5"/>
        <v>26</v>
      </c>
      <c r="H108" s="2" t="s">
        <v>548</v>
      </c>
      <c r="I108" s="2" t="s">
        <v>514</v>
      </c>
      <c r="J108" s="2" t="s">
        <v>548</v>
      </c>
      <c r="K108" s="2" t="s">
        <v>549</v>
      </c>
      <c r="L108" s="2" t="s">
        <v>550</v>
      </c>
      <c r="M108" s="2" t="s">
        <v>17</v>
      </c>
    </row>
    <row r="109" spans="1:13" x14ac:dyDescent="0.35">
      <c r="A109" s="7" t="s">
        <v>546</v>
      </c>
      <c r="B109" s="2"/>
      <c r="C109" s="2" t="s">
        <v>438</v>
      </c>
      <c r="D109" s="4" t="s">
        <v>551</v>
      </c>
      <c r="E109" s="4" t="str">
        <f t="shared" si="3"/>
        <v>5</v>
      </c>
      <c r="F109" s="4" t="str">
        <f t="shared" si="4"/>
        <v>5</v>
      </c>
      <c r="G109" s="4" t="str">
        <f t="shared" si="5"/>
        <v>26</v>
      </c>
      <c r="H109" s="2" t="s">
        <v>552</v>
      </c>
      <c r="I109" s="2" t="s">
        <v>553</v>
      </c>
      <c r="J109" s="2" t="s">
        <v>552</v>
      </c>
      <c r="K109" s="2" t="s">
        <v>554</v>
      </c>
      <c r="L109" s="2" t="s">
        <v>300</v>
      </c>
      <c r="M109" s="2" t="s">
        <v>17</v>
      </c>
    </row>
    <row r="110" spans="1:13" x14ac:dyDescent="0.35">
      <c r="A110" s="7" t="s">
        <v>546</v>
      </c>
      <c r="B110" s="2"/>
      <c r="C110" s="2" t="s">
        <v>438</v>
      </c>
      <c r="D110" s="4" t="s">
        <v>551</v>
      </c>
      <c r="E110" s="4" t="str">
        <f t="shared" si="3"/>
        <v>21</v>
      </c>
      <c r="F110" s="4" t="str">
        <f t="shared" si="4"/>
        <v>5</v>
      </c>
      <c r="G110" s="4" t="str">
        <f t="shared" si="5"/>
        <v>26</v>
      </c>
      <c r="H110" s="2" t="s">
        <v>321</v>
      </c>
      <c r="I110" s="2" t="s">
        <v>555</v>
      </c>
      <c r="J110" s="2" t="s">
        <v>321</v>
      </c>
      <c r="K110" s="2" t="s">
        <v>556</v>
      </c>
      <c r="L110" s="2" t="s">
        <v>557</v>
      </c>
      <c r="M110" s="2" t="s">
        <v>17</v>
      </c>
    </row>
    <row r="111" spans="1:13" x14ac:dyDescent="0.35">
      <c r="A111" s="7" t="s">
        <v>546</v>
      </c>
      <c r="B111" s="2"/>
      <c r="C111" s="2" t="s">
        <v>438</v>
      </c>
      <c r="D111" s="4" t="s">
        <v>551</v>
      </c>
      <c r="E111" s="4" t="str">
        <f t="shared" si="3"/>
        <v>15</v>
      </c>
      <c r="F111" s="4" t="str">
        <f t="shared" si="4"/>
        <v>6</v>
      </c>
      <c r="G111" s="4" t="str">
        <f t="shared" si="5"/>
        <v>26</v>
      </c>
      <c r="H111" s="2" t="s">
        <v>444</v>
      </c>
      <c r="I111" s="2" t="s">
        <v>558</v>
      </c>
      <c r="J111" s="2" t="s">
        <v>444</v>
      </c>
      <c r="K111" s="2" t="s">
        <v>559</v>
      </c>
      <c r="L111" s="2" t="s">
        <v>560</v>
      </c>
      <c r="M111" s="2" t="s">
        <v>17</v>
      </c>
    </row>
    <row r="112" spans="1:13" ht="25" x14ac:dyDescent="0.35">
      <c r="A112" s="7" t="s">
        <v>546</v>
      </c>
      <c r="B112" s="2"/>
      <c r="C112" s="2" t="s">
        <v>438</v>
      </c>
      <c r="D112" s="4" t="s">
        <v>561</v>
      </c>
      <c r="E112" s="4" t="str">
        <f t="shared" si="3"/>
        <v>15</v>
      </c>
      <c r="F112" s="4" t="str">
        <f t="shared" si="4"/>
        <v>6</v>
      </c>
      <c r="G112" s="4" t="str">
        <f t="shared" si="5"/>
        <v>26</v>
      </c>
      <c r="H112" s="2" t="s">
        <v>444</v>
      </c>
      <c r="I112" s="2" t="s">
        <v>562</v>
      </c>
      <c r="J112" s="2" t="s">
        <v>531</v>
      </c>
      <c r="K112" s="2" t="s">
        <v>563</v>
      </c>
      <c r="L112" s="2" t="s">
        <v>564</v>
      </c>
      <c r="M112" s="2" t="s">
        <v>17</v>
      </c>
    </row>
    <row r="113" spans="1:13" ht="37.5" x14ac:dyDescent="0.35">
      <c r="A113" s="7" t="s">
        <v>546</v>
      </c>
      <c r="B113" s="2"/>
      <c r="C113" s="2" t="s">
        <v>438</v>
      </c>
      <c r="D113" s="4" t="s">
        <v>565</v>
      </c>
      <c r="E113" s="4" t="str">
        <f t="shared" si="3"/>
        <v>22</v>
      </c>
      <c r="F113" s="4" t="str">
        <f t="shared" si="4"/>
        <v>6</v>
      </c>
      <c r="G113" s="4" t="str">
        <f t="shared" si="5"/>
        <v>26</v>
      </c>
      <c r="H113" s="2" t="s">
        <v>566</v>
      </c>
      <c r="I113" s="2" t="s">
        <v>567</v>
      </c>
      <c r="J113" s="2" t="s">
        <v>568</v>
      </c>
      <c r="K113" s="2"/>
      <c r="L113" s="2"/>
      <c r="M113" s="2" t="s">
        <v>17</v>
      </c>
    </row>
    <row r="114" spans="1:13" x14ac:dyDescent="0.35">
      <c r="A114" s="7" t="s">
        <v>546</v>
      </c>
      <c r="B114" s="2"/>
      <c r="C114" s="2" t="s">
        <v>438</v>
      </c>
      <c r="D114" s="4" t="s">
        <v>569</v>
      </c>
      <c r="E114" s="4" t="str">
        <f t="shared" si="3"/>
        <v>13</v>
      </c>
      <c r="F114" s="4" t="str">
        <f t="shared" si="4"/>
        <v>7</v>
      </c>
      <c r="G114" s="4" t="str">
        <f t="shared" si="5"/>
        <v>26</v>
      </c>
      <c r="H114" s="2" t="s">
        <v>340</v>
      </c>
      <c r="I114" s="2" t="s">
        <v>570</v>
      </c>
      <c r="J114" s="2"/>
      <c r="K114" s="2"/>
      <c r="L114" s="2"/>
      <c r="M114" s="2" t="s">
        <v>23</v>
      </c>
    </row>
    <row r="115" spans="1:13" x14ac:dyDescent="0.35">
      <c r="A115" s="7" t="s">
        <v>546</v>
      </c>
      <c r="B115" s="2"/>
      <c r="C115" s="2" t="s">
        <v>438</v>
      </c>
      <c r="D115" s="4" t="s">
        <v>551</v>
      </c>
      <c r="E115" s="4" t="str">
        <f t="shared" si="3"/>
        <v>7</v>
      </c>
      <c r="F115" s="4" t="str">
        <f t="shared" si="4"/>
        <v>8</v>
      </c>
      <c r="G115" s="4" t="str">
        <f t="shared" si="5"/>
        <v>26</v>
      </c>
      <c r="H115" s="2" t="s">
        <v>571</v>
      </c>
      <c r="I115" s="2" t="s">
        <v>572</v>
      </c>
      <c r="J115" s="2"/>
      <c r="K115" s="2"/>
      <c r="L115" s="2"/>
      <c r="M115" s="2" t="s">
        <v>23</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Incidentes Masivos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Marcial Reyes Robles</cp:lastModifiedBy>
  <cp:revision>0</cp:revision>
  <dcterms:created xsi:type="dcterms:W3CDTF">2026-08-21T20:28:31Z</dcterms:created>
  <dcterms:modified xsi:type="dcterms:W3CDTF">2026-08-21T23:16:51Z</dcterms:modified>
  <dc:language>en-US</dc:language>
</cp:coreProperties>
</file>